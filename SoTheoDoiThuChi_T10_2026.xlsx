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ướng dẫn" sheetId="1" state="visible" r:id="rId3"/>
    <sheet name="Tổng hợp" sheetId="2" state="visible" r:id="rId4"/>
    <sheet name="Danh mục" sheetId="3" state="visible" r:id="rId5"/>
    <sheet name="Thu Chi" sheetId="4" state="visible" r:id="rId6"/>
    <sheet name="Giao dịch TK" sheetId="5" state="visible" r:id="rId7"/>
    <sheet name="Theo TK" sheetId="6" state="visible" r:id="rId8"/>
    <sheet name="Đối chiếu file cũ" sheetId="7" state="visible" r:id="rId9"/>
  </sheets>
  <definedNames>
    <definedName function="false" hidden="true" localSheetId="4" name="_xlnm._FilterDatabase" vbProcedure="false">'Giao dịch TK'!$A$4:$J$504</definedName>
    <definedName function="false" hidden="true" localSheetId="5" name="_xlnm._FilterDatabase" vbProcedure="false">'Theo TK'!$A$4:$F$48</definedName>
    <definedName function="false" hidden="true" localSheetId="3" name="_xlnm._FilterDatabase" vbProcedure="false">'Thu Chi'!$A$4:$K$504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Nhập số tiền quỹ có sẵn trước ngày 01/10/2026. File gốc không ghi số này nên đang để 0.</t>
        </r>
      </text>
    </comment>
  </commentList>
</comments>
</file>

<file path=xl/sharedStrings.xml><?xml version="1.0" encoding="utf-8"?>
<sst xmlns="http://schemas.openxmlformats.org/spreadsheetml/2006/main" count="500" uniqueCount="300">
  <si>
    <t xml:space="preserve">HƯỚNG DẪN SỬ DỤNG</t>
  </si>
  <si>
    <t xml:space="preserve">Tạo từ file SU.xlsx — dữ liệu 01/10 đến 05/10/2026.</t>
  </si>
  <si>
    <t xml:space="preserve">Sheet</t>
  </si>
  <si>
    <t xml:space="preserve">Dùng để</t>
  </si>
  <si>
    <t xml:space="preserve">Tổng hợp</t>
  </si>
  <si>
    <t xml:space="preserve">Xem nhanh: số dư quỹ, chi theo loại, nạp/đơn/rút theo nhân viên, thu chi theo từng ngày. Chỉ xem, không sửa.</t>
  </si>
  <si>
    <t xml:space="preserve">Thu Chi</t>
  </si>
  <si>
    <t xml:space="preserve">NHẬP mọi khoản tiền thu vào / chi ra. Ghi số dương vào cột Thu hoặc Chi. Cột Số dư tự tính.</t>
  </si>
  <si>
    <t xml:space="preserve">Giao dịch TK</t>
  </si>
  <si>
    <t xml:space="preserve">NHẬP nạp / đơn / rút của từng tài khoản khách, theo nhân viên. Rút ghi số dương.</t>
  </si>
  <si>
    <t xml:space="preserve">Theo TK</t>
  </si>
  <si>
    <t xml:space="preserve">Tổng hợp theo tên tài khoản. Thêm TK mới vào cuối cột A.</t>
  </si>
  <si>
    <t xml:space="preserve">Danh mục</t>
  </si>
  <si>
    <t xml:space="preserve">Danh sách nhân viên, loại thu chi, người chi/nhận (để chọn) và Số dư đầu kỳ (ô vàng).</t>
  </si>
  <si>
    <t xml:space="preserve">Đối chiếu file cũ</t>
  </si>
  <si>
    <t xml:space="preserve">So sánh các tổng gõ tay trong file cũ với số tính lại + danh sách điểm cần xác nhận.</t>
  </si>
  <si>
    <t xml:space="preserve">Quy ước màu</t>
  </si>
  <si>
    <t xml:space="preserve">Chữ xanh dương</t>
  </si>
  <si>
    <t xml:space="preserve">Ô nhập liệu — được sửa.</t>
  </si>
  <si>
    <t xml:space="preserve">Chữ đen</t>
  </si>
  <si>
    <t xml:space="preserve">Công thức — không sửa.</t>
  </si>
  <si>
    <t xml:space="preserve">Chữ xanh lá</t>
  </si>
  <si>
    <t xml:space="preserve">Lấy từ sheet khác.</t>
  </si>
  <si>
    <t xml:space="preserve">Nền vàng</t>
  </si>
  <si>
    <t xml:space="preserve">Ô cần điền (Số dư đầu kỳ).</t>
  </si>
  <si>
    <t xml:space="preserve">Nền cam</t>
  </si>
  <si>
    <t xml:space="preserve">Dòng có nghi vấn, cần kiểm tra lại.</t>
  </si>
  <si>
    <t xml:space="preserve">Ví dụ dòng Thu Chi</t>
  </si>
  <si>
    <t xml:space="preserve">06/10/2026 | SU | Nguyên liệu | (Thu trống) | 1.500 | Mua sim | | </t>
  </si>
  <si>
    <t xml:space="preserve">Ví dụ dòng Giao dịch</t>
  </si>
  <si>
    <t xml:space="preserve">06/10/2026 | WINDI | abc123 | 500 | | 200 |</t>
  </si>
  <si>
    <t xml:space="preserve">Lưu ý</t>
  </si>
  <si>
    <t xml:space="preserve">Mỗi sheet nhập liệu có sẵn 500 dòng có định dạng; các bảng tổng hợp đã tính sẵn cho đủ 500 dòng.</t>
  </si>
  <si>
    <t xml:space="preserve">Cột TỔNG (chữ đỏ)</t>
  </si>
  <si>
    <t xml:space="preserve">Tự cộng theo từng ngày (Giao dịch TK: theo nhân viên + ngày). Nhập dòng mới ngay dưới dòng cuối, ghi đủ Ngày và Nhân viên — tổng hiện ở dòng đầu của ngày đó.</t>
  </si>
  <si>
    <t xml:space="preserve">TỔNG HỢP THU CHI THÁNG 10/2026</t>
  </si>
  <si>
    <t xml:space="preserve">Toàn bộ số trên sheet này là công thức — không cần sửa tay.</t>
  </si>
  <si>
    <t xml:space="preserve">1. QUỸ</t>
  </si>
  <si>
    <t xml:space="preserve">Chi theo loại</t>
  </si>
  <si>
    <t xml:space="preserve">Số dư đầu kỳ</t>
  </si>
  <si>
    <t xml:space="preserve">Loại</t>
  </si>
  <si>
    <t xml:space="preserve">Thu</t>
  </si>
  <si>
    <t xml:space="preserve">Chi</t>
  </si>
  <si>
    <t xml:space="preserve">% tổng chi</t>
  </si>
  <si>
    <t xml:space="preserve">Tổng thu</t>
  </si>
  <si>
    <t xml:space="preserve">Tổng chi</t>
  </si>
  <si>
    <t xml:space="preserve">Số dư cuối kỳ</t>
  </si>
  <si>
    <t xml:space="preserve">Cộng</t>
  </si>
  <si>
    <t xml:space="preserve">2. NẠP / ĐƠN / RÚT THEO NHÂN VIÊN</t>
  </si>
  <si>
    <t xml:space="preserve">Nhân viên / Đại lý</t>
  </si>
  <si>
    <t xml:space="preserve">Nạp</t>
  </si>
  <si>
    <t xml:space="preserve">Đơn</t>
  </si>
  <si>
    <t xml:space="preserve">Rút</t>
  </si>
  <si>
    <t xml:space="preserve">TỔNG
(Nạp + Đơn − Rút)</t>
  </si>
  <si>
    <t xml:space="preserve">Nạp − Rút</t>
  </si>
  <si>
    <t xml:space="preserve">Số dòng GD</t>
  </si>
  <si>
    <t xml:space="preserve">Hoa hồng đã chi</t>
  </si>
  <si>
    <t xml:space="preserve">Cột 'Hoa hồng đã chi' lấy từ sheet Thu Chi (Loại = Hoa hồng, theo tên người nhận).</t>
  </si>
  <si>
    <t xml:space="preserve">3. THEO NGÀY</t>
  </si>
  <si>
    <t xml:space="preserve">Ngày</t>
  </si>
  <si>
    <t xml:space="preserve">Thu − Chi</t>
  </si>
  <si>
    <t xml:space="preserve">Số dư cuối ngày</t>
  </si>
  <si>
    <t xml:space="preserve">Nạp (TK)</t>
  </si>
  <si>
    <t xml:space="preserve">Đơn (TK)</t>
  </si>
  <si>
    <t xml:space="preserve">Rút (TK)</t>
  </si>
  <si>
    <t xml:space="preserve">TỔNG TK
(Nạp + Đơn − Rút)</t>
  </si>
  <si>
    <t xml:space="preserve">Không rõ ngày</t>
  </si>
  <si>
    <t xml:space="preserve">Cộng tháng</t>
  </si>
  <si>
    <t xml:space="preserve">DANH MỤC</t>
  </si>
  <si>
    <t xml:space="preserve">Thêm tên mới vào cuối mỗi cột — danh sách chọn ở các sheet khác sẽ tự cập nhật.</t>
  </si>
  <si>
    <t xml:space="preserve">Loại thu chi</t>
  </si>
  <si>
    <t xml:space="preserve">Người chi / nhận</t>
  </si>
  <si>
    <t xml:space="preserve">WINDI</t>
  </si>
  <si>
    <t xml:space="preserve">Nhận tiền</t>
  </si>
  <si>
    <t xml:space="preserve">SU</t>
  </si>
  <si>
    <t xml:space="preserve">Số dư đầu kỳ (quỹ):</t>
  </si>
  <si>
    <t xml:space="preserve">CAO TIẾN</t>
  </si>
  <si>
    <t xml:space="preserve">Hoa hồng</t>
  </si>
  <si>
    <t xml:space="preserve">GIA</t>
  </si>
  <si>
    <t xml:space="preserve">Nguyên liệu</t>
  </si>
  <si>
    <t xml:space="preserve">CHƯA RÕ (bảng cột Y)</t>
  </si>
  <si>
    <t xml:space="preserve">Mua sắm</t>
  </si>
  <si>
    <t xml:space="preserve">LOUIS</t>
  </si>
  <si>
    <t xml:space="preserve">ĐẠI LÝ NGỌC LINH 65</t>
  </si>
  <si>
    <t xml:space="preserve">Trả nền tảng</t>
  </si>
  <si>
    <t xml:space="preserve">A CHÁN</t>
  </si>
  <si>
    <t xml:space="preserve">RICON</t>
  </si>
  <si>
    <t xml:space="preserve">Ứng</t>
  </si>
  <si>
    <t xml:space="preserve">WINDY</t>
  </si>
  <si>
    <t xml:space="preserve">Khác</t>
  </si>
  <si>
    <t xml:space="preserve">ĐẠI LÝ NGỌC LINH</t>
  </si>
  <si>
    <t xml:space="preserve">MÙ TẠT</t>
  </si>
  <si>
    <t xml:space="preserve">SỔ THU CHI THÁNG 10/2026</t>
  </si>
  <si>
    <t xml:space="preserve">Mỗi dòng = 1 khoản. Ghi số tiền vào cột THU hoặc CHI (số dương). Cột Số dư tự tính.</t>
  </si>
  <si>
    <t xml:space="preserve">Số dư</t>
  </si>
  <si>
    <t xml:space="preserve">TỔNG THU NGÀY</t>
  </si>
  <si>
    <t xml:space="preserve">TỔNG CHI NGÀY</t>
  </si>
  <si>
    <t xml:space="preserve">Nội dung</t>
  </si>
  <si>
    <t xml:space="preserve">Nguồn (file cũ)</t>
  </si>
  <si>
    <t xml:space="preserve">Ghi chú</t>
  </si>
  <si>
    <t xml:space="preserve">Duy Mạnh</t>
  </si>
  <si>
    <t xml:space="preserve">THU CHI!E3</t>
  </si>
  <si>
    <t xml:space="preserve">Tele nhóm</t>
  </si>
  <si>
    <t xml:space="preserve">THU CHI!E4</t>
  </si>
  <si>
    <t xml:space="preserve">Rin</t>
  </si>
  <si>
    <t xml:space="preserve">THU CHI!E5</t>
  </si>
  <si>
    <t xml:space="preserve">THU CHI!E6</t>
  </si>
  <si>
    <t xml:space="preserve">Nâng sao tele</t>
  </si>
  <si>
    <t xml:space="preserve">THU CHI!E9</t>
  </si>
  <si>
    <t xml:space="preserve">THU CHI!E12</t>
  </si>
  <si>
    <t xml:space="preserve">File gốc không ghi nội dung</t>
  </si>
  <si>
    <t xml:space="preserve">su!C2</t>
  </si>
  <si>
    <t xml:space="preserve">Mua tủ lạnh</t>
  </si>
  <si>
    <t xml:space="preserve">su!D2</t>
  </si>
  <si>
    <t xml:space="preserve">Nguyên liệu nhóm</t>
  </si>
  <si>
    <t xml:space="preserve">su!D3 = THU CHI!E18</t>
  </si>
  <si>
    <t xml:space="preserve">Có ở cả 2 sheet cũ — chỉ ghi 1 lần</t>
  </si>
  <si>
    <t xml:space="preserve">Mua bank</t>
  </si>
  <si>
    <t xml:space="preserve">THU CHI!E15</t>
  </si>
  <si>
    <t xml:space="preserve">HH THANG 10!D2</t>
  </si>
  <si>
    <t xml:space="preserve">HH THANG 10!D3</t>
  </si>
  <si>
    <t xml:space="preserve">su!C4</t>
  </si>
  <si>
    <t xml:space="preserve">su!C5</t>
  </si>
  <si>
    <t xml:space="preserve">Mua máy tính</t>
  </si>
  <si>
    <t xml:space="preserve">su!D4</t>
  </si>
  <si>
    <t xml:space="preserve">Mua quạt nhân viên</t>
  </si>
  <si>
    <t xml:space="preserve">su!D5</t>
  </si>
  <si>
    <t xml:space="preserve">Mua bồn cầu</t>
  </si>
  <si>
    <t xml:space="preserve">su!D6</t>
  </si>
  <si>
    <t xml:space="preserve">HH THANG 10!D4</t>
  </si>
  <si>
    <t xml:space="preserve">Hoa hồng Windy</t>
  </si>
  <si>
    <t xml:space="preserve">su!D7 = HH THANG 10!D5</t>
  </si>
  <si>
    <t xml:space="preserve">su!C8</t>
  </si>
  <si>
    <t xml:space="preserve">KIỂM TRA: lớn gấp ~10 lần ngày khác, có thể gõ thừa số 0</t>
  </si>
  <si>
    <t xml:space="preserve">su!D8</t>
  </si>
  <si>
    <t xml:space="preserve">File gốc chỉ ghi 'GIA'</t>
  </si>
  <si>
    <t xml:space="preserve">su!D9</t>
  </si>
  <si>
    <t xml:space="preserve">Mua ss</t>
  </si>
  <si>
    <t xml:space="preserve">THU CHI!E19</t>
  </si>
  <si>
    <t xml:space="preserve">Không có trong sheet 'su' cũ — cần xác nhận</t>
  </si>
  <si>
    <t xml:space="preserve">Nền tảng</t>
  </si>
  <si>
    <t xml:space="preserve">su!D10</t>
  </si>
  <si>
    <t xml:space="preserve">su!D11</t>
  </si>
  <si>
    <t xml:space="preserve">File gốc chỉ ghi 'gia'</t>
  </si>
  <si>
    <t xml:space="preserve">su!D12</t>
  </si>
  <si>
    <t xml:space="preserve">GIAO DỊCH NẠP / ĐƠN / RÚT THEO TÀI KHOẢN</t>
  </si>
  <si>
    <t xml:space="preserve">Rút ghi SỐ DƯƠNG. Mỗi dòng = 1 tài khoản trong 1 ngày.</t>
  </si>
  <si>
    <t xml:space="preserve">Tên TK</t>
  </si>
  <si>
    <t xml:space="preserve">TỔNG NGÀY
(Nạp + Đơn − Rút)</t>
  </si>
  <si>
    <t xml:space="preserve">TỔNG RÚT
NGÀY</t>
  </si>
  <si>
    <t xml:space="preserve">khiem99z</t>
  </si>
  <si>
    <t xml:space="preserve">tháng 10!C5</t>
  </si>
  <si>
    <t xml:space="preserve">zinssha</t>
  </si>
  <si>
    <t xml:space="preserve">tháng 10!C6</t>
  </si>
  <si>
    <t xml:space="preserve">linhnhi6868</t>
  </si>
  <si>
    <t xml:space="preserve">tháng 10!C7</t>
  </si>
  <si>
    <t xml:space="preserve">junjin91</t>
  </si>
  <si>
    <t xml:space="preserve">tháng 10!C8</t>
  </si>
  <si>
    <t xml:space="preserve">congacon</t>
  </si>
  <si>
    <t xml:space="preserve">tháng 10!C9</t>
  </si>
  <si>
    <t xml:space="preserve">andanh8386</t>
  </si>
  <si>
    <t xml:space="preserve">tháng 10!C10</t>
  </si>
  <si>
    <t xml:space="preserve">linh6868</t>
  </si>
  <si>
    <t xml:space="preserve">tháng 10!C11</t>
  </si>
  <si>
    <t xml:space="preserve">beannie</t>
  </si>
  <si>
    <t xml:space="preserve">tháng 10!C12</t>
  </si>
  <si>
    <t xml:space="preserve">buingoc66</t>
  </si>
  <si>
    <t xml:space="preserve">tháng 10!C13</t>
  </si>
  <si>
    <t xml:space="preserve">tháng 10!C17</t>
  </si>
  <si>
    <t xml:space="preserve">tháng 10!C18</t>
  </si>
  <si>
    <t xml:space="preserve">tháng 10!C19</t>
  </si>
  <si>
    <t xml:space="preserve">tháng 10!C20</t>
  </si>
  <si>
    <t xml:space="preserve">haithanh89</t>
  </si>
  <si>
    <t xml:space="preserve">tháng 10!C21</t>
  </si>
  <si>
    <t xml:space="preserve">cao774</t>
  </si>
  <si>
    <t xml:space="preserve">tháng 10!C22</t>
  </si>
  <si>
    <t xml:space="preserve">traidep2236</t>
  </si>
  <si>
    <t xml:space="preserve">tháng 10!C26</t>
  </si>
  <si>
    <t xml:space="preserve">tháng 10!C27</t>
  </si>
  <si>
    <t xml:space="preserve">tháng 10!C28</t>
  </si>
  <si>
    <t xml:space="preserve">tháng 10!C29</t>
  </si>
  <si>
    <t xml:space="preserve">File gốc ghi rút +700 (các dòng khác ghi số âm)</t>
  </si>
  <si>
    <t xml:space="preserve">vansuol123</t>
  </si>
  <si>
    <t xml:space="preserve">tháng 10!K4</t>
  </si>
  <si>
    <t xml:space="preserve">Có thể là 'vansuong123' (gõ nhầm?)</t>
  </si>
  <si>
    <t xml:space="preserve">phanvandieu</t>
  </si>
  <si>
    <t xml:space="preserve">tháng 10!K5</t>
  </si>
  <si>
    <t xml:space="preserve">phandz9999</t>
  </si>
  <si>
    <t xml:space="preserve">tháng 10!K6</t>
  </si>
  <si>
    <t xml:space="preserve">camon28</t>
  </si>
  <si>
    <t xml:space="preserve">tháng 10!K7</t>
  </si>
  <si>
    <t xml:space="preserve">(không ghi tên)</t>
  </si>
  <si>
    <t xml:space="preserve">tháng 10!N8</t>
  </si>
  <si>
    <t xml:space="preserve">File gốc thiếu tên TK</t>
  </si>
  <si>
    <t xml:space="preserve">havantung</t>
  </si>
  <si>
    <t xml:space="preserve">tháng 10!K11</t>
  </si>
  <si>
    <t xml:space="preserve">vansuong123</t>
  </si>
  <si>
    <t xml:space="preserve">tháng 10!K12</t>
  </si>
  <si>
    <t xml:space="preserve">tháng 10!K15</t>
  </si>
  <si>
    <t xml:space="preserve">rang188</t>
  </si>
  <si>
    <t xml:space="preserve">tháng 10!K16</t>
  </si>
  <si>
    <t xml:space="preserve">subhdantribcr2026</t>
  </si>
  <si>
    <t xml:space="preserve">tháng 10!K17</t>
  </si>
  <si>
    <t xml:space="preserve">hieu1996</t>
  </si>
  <si>
    <t xml:space="preserve">tháng 10!K18</t>
  </si>
  <si>
    <t xml:space="preserve">baomini8386</t>
  </si>
  <si>
    <t xml:space="preserve">tháng 10!K19</t>
  </si>
  <si>
    <t xml:space="preserve">thuthuy07007</t>
  </si>
  <si>
    <t xml:space="preserve">tháng 10!K20</t>
  </si>
  <si>
    <t xml:space="preserve">cuong1992</t>
  </si>
  <si>
    <t xml:space="preserve">tháng 10!K21</t>
  </si>
  <si>
    <t xml:space="preserve">tháng 10!K22</t>
  </si>
  <si>
    <t xml:space="preserve">haidang186</t>
  </si>
  <si>
    <t xml:space="preserve">tháng 10!K23</t>
  </si>
  <si>
    <t xml:space="preserve">nguoila12c</t>
  </si>
  <si>
    <t xml:space="preserve">tháng 10!K24</t>
  </si>
  <si>
    <t xml:space="preserve">nhatbcr678</t>
  </si>
  <si>
    <t xml:space="preserve">tháng 10!K25</t>
  </si>
  <si>
    <t xml:space="preserve">kevotinh3</t>
  </si>
  <si>
    <t xml:space="preserve">tháng 10!K26</t>
  </si>
  <si>
    <t xml:space="preserve">tháng 10!K27</t>
  </si>
  <si>
    <t xml:space="preserve">plsonsoi</t>
  </si>
  <si>
    <t xml:space="preserve">tháng 10!K28</t>
  </si>
  <si>
    <t xml:space="preserve">xechorac1</t>
  </si>
  <si>
    <t xml:space="preserve">tháng 10!K29</t>
  </si>
  <si>
    <t xml:space="preserve">tháng 10!K30</t>
  </si>
  <si>
    <t xml:space="preserve">nguyenn08</t>
  </si>
  <si>
    <t xml:space="preserve">tháng 10!K31</t>
  </si>
  <si>
    <t xml:space="preserve">haidangdzd</t>
  </si>
  <si>
    <t xml:space="preserve">tháng 10!K32</t>
  </si>
  <si>
    <t xml:space="preserve">ngocanh8386</t>
  </si>
  <si>
    <t xml:space="preserve">tháng 10!K33</t>
  </si>
  <si>
    <t xml:space="preserve">thangdien777</t>
  </si>
  <si>
    <t xml:space="preserve">tháng 10!S4</t>
  </si>
  <si>
    <t xml:space="preserve">quanghuyyy01</t>
  </si>
  <si>
    <t xml:space="preserve">tháng 10!S5</t>
  </si>
  <si>
    <t xml:space="preserve">tháng 10!S6</t>
  </si>
  <si>
    <t xml:space="preserve">quoc2004</t>
  </si>
  <si>
    <t xml:space="preserve">tháng 10!S7</t>
  </si>
  <si>
    <t xml:space="preserve">diem1995</t>
  </si>
  <si>
    <t xml:space="preserve">tháng 10!S8</t>
  </si>
  <si>
    <t xml:space="preserve">tháng 10!S9</t>
  </si>
  <si>
    <t xml:space="preserve">KIỂM TRA: đơn 4.600 trùng với ngày 03/10 — có nhập trùng?</t>
  </si>
  <si>
    <t xml:space="preserve">msuc17919</t>
  </si>
  <si>
    <t xml:space="preserve">tháng 10!AA4</t>
  </si>
  <si>
    <t xml:space="preserve">tháng 10!AB5</t>
  </si>
  <si>
    <t xml:space="preserve">nhat2143</t>
  </si>
  <si>
    <t xml:space="preserve">tháng 10!AA6</t>
  </si>
  <si>
    <t xml:space="preserve">thanhtridf999</t>
  </si>
  <si>
    <t xml:space="preserve">tháng 10!AG4</t>
  </si>
  <si>
    <t xml:space="preserve">File gốc không có cột ngày</t>
  </si>
  <si>
    <t xml:space="preserve">Lethilai</t>
  </si>
  <si>
    <t xml:space="preserve">tháng 10!AG5</t>
  </si>
  <si>
    <t xml:space="preserve">khoa7778</t>
  </si>
  <si>
    <t xml:space="preserve">tháng 10!AN4</t>
  </si>
  <si>
    <t xml:space="preserve">ah1234567</t>
  </si>
  <si>
    <t xml:space="preserve">tháng 10!AN6</t>
  </si>
  <si>
    <t xml:space="preserve">TỔNG HỢP THEO TÀI KHOẢN</t>
  </si>
  <si>
    <t xml:space="preserve">Danh sách TK lấy từ dữ liệu hiện có. Thêm TK mới vào cuối cột A để theo dõi.</t>
  </si>
  <si>
    <t xml:space="preserve">Số lần GD</t>
  </si>
  <si>
    <t xml:space="preserve">ĐỐI CHIẾU VỚI CÁC SỐ TỔNG GÕ TAY TRONG FILE CŨ</t>
  </si>
  <si>
    <t xml:space="preserve">Cột 'File cũ' là số chép từ file SU.xlsx. Cột 'Tính lại' là công thức trên dữ liệu mới.</t>
  </si>
  <si>
    <t xml:space="preserve">Hạng mục</t>
  </si>
  <si>
    <t xml:space="preserve">Ô file cũ</t>
  </si>
  <si>
    <t xml:space="preserve">File cũ</t>
  </si>
  <si>
    <t xml:space="preserve">Tính lại</t>
  </si>
  <si>
    <t xml:space="preserve">Chênh lệch</t>
  </si>
  <si>
    <t xml:space="preserve">Kết quả</t>
  </si>
  <si>
    <t xml:space="preserve">WINDI 01/10 — Nạp + Đơn</t>
  </si>
  <si>
    <t xml:space="preserve">tháng 10!G4</t>
  </si>
  <si>
    <t xml:space="preserve">WINDI 01/10 — Rút</t>
  </si>
  <si>
    <t xml:space="preserve">tháng 10!F14</t>
  </si>
  <si>
    <t xml:space="preserve">WINDI 02/10 — Nạp + Đơn</t>
  </si>
  <si>
    <t xml:space="preserve">tháng 10!G17</t>
  </si>
  <si>
    <t xml:space="preserve">WINDI 02/10 — Rút</t>
  </si>
  <si>
    <t xml:space="preserve">tháng 10!F23</t>
  </si>
  <si>
    <t xml:space="preserve">WINDI 03/10 — Nạp + Đơn</t>
  </si>
  <si>
    <t xml:space="preserve">tháng 10!G26</t>
  </si>
  <si>
    <t xml:space="preserve">WINDI 04/10 — Nạp + Đơn</t>
  </si>
  <si>
    <t xml:space="preserve">tháng 10!G28</t>
  </si>
  <si>
    <t xml:space="preserve">CAO TIẾN 01/10 — Nạp</t>
  </si>
  <si>
    <t xml:space="preserve">tháng 10!O4</t>
  </si>
  <si>
    <t xml:space="preserve">CAO TIẾN 02/10 — Nạp</t>
  </si>
  <si>
    <t xml:space="preserve">tháng 10!O11</t>
  </si>
  <si>
    <t xml:space="preserve">SU 01/10 — Nạp − Rút</t>
  </si>
  <si>
    <t xml:space="preserve">tháng 10!W4</t>
  </si>
  <si>
    <t xml:space="preserve">SU 02/10 — Nạp − Rút</t>
  </si>
  <si>
    <t xml:space="preserve">tháng 10!W6</t>
  </si>
  <si>
    <t xml:space="preserve">Tổng hoa hồng (HH THANG 10)</t>
  </si>
  <si>
    <t xml:space="preserve">HH THANG 10!D2:D5</t>
  </si>
  <si>
    <t xml:space="preserve">Các điểm cần xác nhận (đã tô cam trong sheet Thu Chi / Giao dịch TK):</t>
  </si>
  <si>
    <t xml:space="preserve">• WINDI 02/10: file cũ ghi tổng rút 1.215 nhưng 206 + 955 = 1.161 (lệch 54).</t>
  </si>
  <si>
    <t xml:space="preserve">• Sheet 'su' 04/10 nhận 300.000 — lớn bất thường, có thể gõ thừa số 0.</t>
  </si>
  <si>
    <t xml:space="preserve">• quoc2004 có đơn 4.600 cả ngày 03/10 và 05/10 — có thể nhập trùng.</t>
  </si>
  <si>
    <t xml:space="preserve">• THU CHI 04/10 'su mua ss 4600' không có trong sheet 'su'.</t>
  </si>
  <si>
    <t xml:space="preserve">• 'vansuol123' và 'vansuong123' có thể là cùng 1 TK.</t>
  </si>
  <si>
    <t xml:space="preserve">• Đại lý Ngọc Linh 65 không có ngày giao dịch; 2 dòng thiếu tên TK.</t>
  </si>
  <si>
    <t xml:space="preserve">• Khoản 'su mua nl 2300' và 'HH WINDY 23772' có ở 2 sheet cũ — file mới chỉ ghi 1 lần.</t>
  </si>
  <si>
    <t xml:space="preserve">• Sheet 'su' có nhiều khoản chỉ ghi 'GIA' — đã xếp loại 'Khác', nên bổ sung nội dung.</t>
  </si>
  <si>
    <t xml:space="preserve">• Đơn vị tiền không ghi trong file cũ (có thể là nghìn đồng) — giữ nguyên số.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</si>
</sst>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;\-0.0%;\-"/>
    <numFmt numFmtId="167" formatCode="0.0%"/>
    <numFmt numFmtId="168" formatCode="dd/mm/yyyy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sz val="10"/>
      <name val="Arial"/>
      <family val="2"/>
    </font>
    <font>
      <b val="true"/>
      <sz val="11"/>
      <color rgb="FFFF0000"/>
      <name val="Arial"/>
      <family val="0"/>
      <charset val="1"/>
    </font>
    <font>
      <sz val="11"/>
      <color rgb="FF7F7F7F"/>
      <name val="Arial"/>
      <family val="0"/>
      <charset val="1"/>
    </font>
    <font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404040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color rgb="FFBFBFBF"/>
      </font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6" t="s">
        <v>4</v>
      </c>
      <c r="B5" s="7" t="s">
        <v>5</v>
      </c>
    </row>
    <row r="6" customFormat="false" ht="15" hidden="false" customHeight="false" outlineLevel="0" collapsed="false">
      <c r="A6" s="6" t="s">
        <v>6</v>
      </c>
      <c r="B6" s="7" t="s">
        <v>7</v>
      </c>
    </row>
    <row r="7" customFormat="false" ht="15" hidden="false" customHeight="false" outlineLevel="0" collapsed="false">
      <c r="A7" s="6" t="s">
        <v>8</v>
      </c>
      <c r="B7" s="7" t="s">
        <v>9</v>
      </c>
    </row>
    <row r="8" customFormat="false" ht="15" hidden="false" customHeight="false" outlineLevel="0" collapsed="false">
      <c r="A8" s="6" t="s">
        <v>10</v>
      </c>
      <c r="B8" s="7" t="s">
        <v>11</v>
      </c>
    </row>
    <row r="9" customFormat="false" ht="15" hidden="false" customHeight="false" outlineLevel="0" collapsed="false">
      <c r="A9" s="6" t="s">
        <v>12</v>
      </c>
      <c r="B9" s="7" t="s">
        <v>13</v>
      </c>
    </row>
    <row r="10" customFormat="false" ht="15" hidden="false" customHeight="false" outlineLevel="0" collapsed="false">
      <c r="A10" s="6" t="s">
        <v>14</v>
      </c>
      <c r="B10" s="7" t="s">
        <v>15</v>
      </c>
    </row>
    <row r="11" customFormat="false" ht="15" hidden="false" customHeight="false" outlineLevel="0" collapsed="false">
      <c r="A11" s="8"/>
      <c r="B11" s="7"/>
    </row>
    <row r="12" customFormat="false" ht="15" hidden="false" customHeight="false" outlineLevel="0" collapsed="false">
      <c r="A12" s="6" t="s">
        <v>16</v>
      </c>
      <c r="B12" s="7"/>
    </row>
    <row r="13" customFormat="false" ht="15" hidden="false" customHeight="false" outlineLevel="0" collapsed="false">
      <c r="A13" s="9" t="s">
        <v>17</v>
      </c>
      <c r="B13" s="7" t="s">
        <v>18</v>
      </c>
    </row>
    <row r="14" customFormat="false" ht="15" hidden="false" customHeight="false" outlineLevel="0" collapsed="false">
      <c r="A14" s="6" t="s">
        <v>19</v>
      </c>
      <c r="B14" s="7" t="s">
        <v>20</v>
      </c>
    </row>
    <row r="15" customFormat="false" ht="15" hidden="false" customHeight="false" outlineLevel="0" collapsed="false">
      <c r="A15" s="10" t="s">
        <v>21</v>
      </c>
      <c r="B15" s="7" t="s">
        <v>22</v>
      </c>
    </row>
    <row r="16" customFormat="false" ht="15" hidden="false" customHeight="false" outlineLevel="0" collapsed="false">
      <c r="A16" s="11" t="s">
        <v>23</v>
      </c>
      <c r="B16" s="7" t="s">
        <v>24</v>
      </c>
    </row>
    <row r="17" customFormat="false" ht="15" hidden="false" customHeight="false" outlineLevel="0" collapsed="false">
      <c r="A17" s="12" t="s">
        <v>25</v>
      </c>
      <c r="B17" s="7" t="s">
        <v>26</v>
      </c>
    </row>
    <row r="18" customFormat="false" ht="15" hidden="false" customHeight="false" outlineLevel="0" collapsed="false">
      <c r="A18" s="8"/>
      <c r="B18" s="7"/>
    </row>
    <row r="19" customFormat="false" ht="15" hidden="false" customHeight="false" outlineLevel="0" collapsed="false">
      <c r="A19" s="8" t="s">
        <v>27</v>
      </c>
      <c r="B19" s="7" t="s">
        <v>28</v>
      </c>
    </row>
    <row r="20" customFormat="false" ht="15" hidden="false" customHeight="false" outlineLevel="0" collapsed="false">
      <c r="A20" s="8" t="s">
        <v>29</v>
      </c>
      <c r="B20" s="7" t="s">
        <v>30</v>
      </c>
    </row>
    <row r="21" customFormat="false" ht="15" hidden="false" customHeight="false" outlineLevel="0" collapsed="false">
      <c r="A21" s="8" t="s">
        <v>31</v>
      </c>
      <c r="B21" s="7" t="s">
        <v>32</v>
      </c>
    </row>
    <row r="22" customFormat="false" ht="26.85" hidden="false" customHeight="false" outlineLevel="0" collapsed="false">
      <c r="A22" s="8" t="s">
        <v>33</v>
      </c>
      <c r="B22" s="7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5"/>
    <col collapsed="false" customWidth="true" hidden="false" outlineLevel="0" max="9" min="9" style="0" width="17"/>
  </cols>
  <sheetData>
    <row r="1" customFormat="false" ht="17.35" hidden="false" customHeight="false" outlineLevel="0" collapsed="false">
      <c r="A1" s="1" t="s">
        <v>35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36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13" t="s">
        <v>37</v>
      </c>
      <c r="B4" s="2"/>
      <c r="C4" s="2"/>
      <c r="D4" s="13" t="s">
        <v>38</v>
      </c>
      <c r="E4" s="2"/>
      <c r="F4" s="2"/>
      <c r="G4" s="2"/>
      <c r="H4" s="2"/>
      <c r="I4" s="2"/>
    </row>
    <row r="5" customFormat="false" ht="15" hidden="false" customHeight="false" outlineLevel="0" collapsed="false">
      <c r="A5" s="14" t="s">
        <v>39</v>
      </c>
      <c r="B5" s="15" t="n">
        <f aca="false">'Danh mục'!F5</f>
        <v>0</v>
      </c>
      <c r="C5" s="2"/>
      <c r="D5" s="16" t="s">
        <v>40</v>
      </c>
      <c r="E5" s="16" t="s">
        <v>41</v>
      </c>
      <c r="F5" s="16" t="s">
        <v>42</v>
      </c>
      <c r="G5" s="16" t="s">
        <v>43</v>
      </c>
      <c r="H5" s="2"/>
      <c r="I5" s="2"/>
    </row>
    <row r="6" customFormat="false" ht="15" hidden="false" customHeight="false" outlineLevel="0" collapsed="false">
      <c r="A6" s="14" t="s">
        <v>44</v>
      </c>
      <c r="B6" s="15" t="n">
        <f aca="false">SUM('Thu Chi'!$D$5:$D$504)</f>
        <v>349200</v>
      </c>
      <c r="C6" s="2"/>
      <c r="D6" s="17" t="str">
        <f aca="false">'Danh mục'!B5</f>
        <v>Nhận tiền</v>
      </c>
      <c r="E6" s="18" t="n">
        <f aca="false">SUMIFS('Thu Chi'!$D$5:$D$504,'Thu Chi'!$C$5:$C$504,D6)</f>
        <v>349200</v>
      </c>
      <c r="F6" s="18" t="n">
        <f aca="false">SUMIFS('Thu Chi'!$E$5:$E$504,'Thu Chi'!$C$5:$C$504,D6)</f>
        <v>0</v>
      </c>
      <c r="G6" s="19" t="n">
        <f aca="false">IF($B$7=0,0,F6/$B$7)</f>
        <v>0</v>
      </c>
      <c r="H6" s="2"/>
      <c r="I6" s="2"/>
    </row>
    <row r="7" customFormat="false" ht="15" hidden="false" customHeight="false" outlineLevel="0" collapsed="false">
      <c r="A7" s="14" t="s">
        <v>45</v>
      </c>
      <c r="B7" s="15" t="n">
        <f aca="false">SUM('Thu Chi'!$E$5:$E$504)</f>
        <v>113194</v>
      </c>
      <c r="C7" s="2"/>
      <c r="D7" s="17" t="str">
        <f aca="false">'Danh mục'!B6</f>
        <v>Hoa hồng</v>
      </c>
      <c r="E7" s="18" t="n">
        <f aca="false">SUMIFS('Thu Chi'!$D$5:$D$504,'Thu Chi'!$C$5:$C$504,D7)</f>
        <v>0</v>
      </c>
      <c r="F7" s="18" t="n">
        <f aca="false">SUMIFS('Thu Chi'!$E$5:$E$504,'Thu Chi'!$C$5:$C$504,D7)</f>
        <v>42572</v>
      </c>
      <c r="G7" s="19" t="n">
        <f aca="false">IF($B$7=0,0,F7/$B$7)</f>
        <v>0.376097673021538</v>
      </c>
      <c r="H7" s="2"/>
      <c r="I7" s="2"/>
    </row>
    <row r="8" customFormat="false" ht="15" hidden="false" customHeight="false" outlineLevel="0" collapsed="false">
      <c r="A8" s="20" t="s">
        <v>46</v>
      </c>
      <c r="B8" s="21" t="n">
        <f aca="false">B5+B6-B7</f>
        <v>236006</v>
      </c>
      <c r="C8" s="2"/>
      <c r="D8" s="17" t="str">
        <f aca="false">'Danh mục'!B7</f>
        <v>Nguyên liệu</v>
      </c>
      <c r="E8" s="18" t="n">
        <f aca="false">SUMIFS('Thu Chi'!$D$5:$D$504,'Thu Chi'!$C$5:$C$504,D8)</f>
        <v>0</v>
      </c>
      <c r="F8" s="18" t="n">
        <f aca="false">SUMIFS('Thu Chi'!$E$5:$E$504,'Thu Chi'!$C$5:$C$504,D8)</f>
        <v>18250</v>
      </c>
      <c r="G8" s="19" t="n">
        <f aca="false">IF($B$7=0,0,F8/$B$7)</f>
        <v>0.16122762690602</v>
      </c>
      <c r="H8" s="2"/>
      <c r="I8" s="2"/>
    </row>
    <row r="9" customFormat="false" ht="15" hidden="false" customHeight="false" outlineLevel="0" collapsed="false">
      <c r="A9" s="2"/>
      <c r="B9" s="2"/>
      <c r="C9" s="2"/>
      <c r="D9" s="17" t="str">
        <f aca="false">'Danh mục'!B8</f>
        <v>Mua sắm</v>
      </c>
      <c r="E9" s="18" t="n">
        <f aca="false">SUMIFS('Thu Chi'!$D$5:$D$504,'Thu Chi'!$C$5:$C$504,D9)</f>
        <v>0</v>
      </c>
      <c r="F9" s="18" t="n">
        <f aca="false">SUMIFS('Thu Chi'!$E$5:$E$504,'Thu Chi'!$C$5:$C$504,D9)</f>
        <v>25646</v>
      </c>
      <c r="G9" s="19" t="n">
        <f aca="false">IF($B$7=0,0,F9/$B$7)</f>
        <v>0.226566779157906</v>
      </c>
      <c r="H9" s="2"/>
      <c r="I9" s="2"/>
    </row>
    <row r="10" customFormat="false" ht="15" hidden="false" customHeight="false" outlineLevel="0" collapsed="false">
      <c r="A10" s="2"/>
      <c r="B10" s="2"/>
      <c r="C10" s="2"/>
      <c r="D10" s="17" t="str">
        <f aca="false">'Danh mục'!B9</f>
        <v>Trả nền tảng</v>
      </c>
      <c r="E10" s="18" t="n">
        <f aca="false">SUMIFS('Thu Chi'!$D$5:$D$504,'Thu Chi'!$C$5:$C$504,D10)</f>
        <v>0</v>
      </c>
      <c r="F10" s="18" t="n">
        <f aca="false">SUMIFS('Thu Chi'!$E$5:$E$504,'Thu Chi'!$C$5:$C$504,D10)</f>
        <v>20000</v>
      </c>
      <c r="G10" s="19" t="n">
        <f aca="false">IF($B$7=0,0,F10/$B$7)</f>
        <v>0.176687810307967</v>
      </c>
      <c r="H10" s="2"/>
      <c r="I10" s="2"/>
    </row>
    <row r="11" customFormat="false" ht="15" hidden="false" customHeight="false" outlineLevel="0" collapsed="false">
      <c r="A11" s="2"/>
      <c r="B11" s="2"/>
      <c r="C11" s="2"/>
      <c r="D11" s="17" t="str">
        <f aca="false">'Danh mục'!B10</f>
        <v>Ứng</v>
      </c>
      <c r="E11" s="18" t="n">
        <f aca="false">SUMIFS('Thu Chi'!$D$5:$D$504,'Thu Chi'!$C$5:$C$504,D11)</f>
        <v>0</v>
      </c>
      <c r="F11" s="18" t="n">
        <f aca="false">SUMIFS('Thu Chi'!$E$5:$E$504,'Thu Chi'!$C$5:$C$504,D11)</f>
        <v>0</v>
      </c>
      <c r="G11" s="19" t="n">
        <f aca="false">IF($B$7=0,0,F11/$B$7)</f>
        <v>0</v>
      </c>
      <c r="H11" s="2"/>
      <c r="I11" s="2"/>
    </row>
    <row r="12" customFormat="false" ht="15" hidden="false" customHeight="false" outlineLevel="0" collapsed="false">
      <c r="A12" s="2"/>
      <c r="B12" s="2"/>
      <c r="C12" s="2"/>
      <c r="D12" s="17" t="str">
        <f aca="false">'Danh mục'!B11</f>
        <v>Khác</v>
      </c>
      <c r="E12" s="18" t="n">
        <f aca="false">SUMIFS('Thu Chi'!$D$5:$D$504,'Thu Chi'!$C$5:$C$504,D12)</f>
        <v>0</v>
      </c>
      <c r="F12" s="18" t="n">
        <f aca="false">SUMIFS('Thu Chi'!$E$5:$E$504,'Thu Chi'!$C$5:$C$504,D12)</f>
        <v>6726</v>
      </c>
      <c r="G12" s="19" t="n">
        <f aca="false">IF($B$7=0,0,F12/$B$7)</f>
        <v>0.0594201106065693</v>
      </c>
      <c r="H12" s="2"/>
      <c r="I12" s="2"/>
    </row>
    <row r="13" customFormat="false" ht="15" hidden="false" customHeight="false" outlineLevel="0" collapsed="false">
      <c r="A13" s="2"/>
      <c r="B13" s="2"/>
      <c r="C13" s="2"/>
      <c r="D13" s="20" t="s">
        <v>47</v>
      </c>
      <c r="E13" s="22" t="n">
        <f aca="false">SUM(E6:E12)</f>
        <v>349200</v>
      </c>
      <c r="F13" s="22" t="n">
        <f aca="false">SUM(F6:F12)</f>
        <v>113194</v>
      </c>
      <c r="G13" s="23" t="n">
        <f aca="false">SUM(G6:G12)</f>
        <v>1</v>
      </c>
      <c r="H13" s="2"/>
      <c r="I13" s="2"/>
    </row>
    <row r="14" customFormat="false" ht="15" hidden="false" customHeight="false" outlineLevel="0" collapsed="false">
      <c r="A14" s="2"/>
      <c r="B14" s="2"/>
      <c r="C14" s="2"/>
      <c r="D14" s="3" t="str">
        <f aca="false">IF(AND(E13=B6,F13=B7),"✓ Khớp tổng","⚠ Có dòng chưa chọn Loại")</f>
        <v>✓ Khớp tổng</v>
      </c>
      <c r="E14" s="2"/>
      <c r="F14" s="2"/>
      <c r="G14" s="2"/>
      <c r="H14" s="2"/>
      <c r="I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13" t="s">
        <v>48</v>
      </c>
      <c r="B16" s="2"/>
      <c r="C16" s="2"/>
      <c r="D16" s="2"/>
      <c r="E16" s="2"/>
      <c r="F16" s="2"/>
      <c r="G16" s="2"/>
      <c r="H16" s="2"/>
      <c r="I16" s="2"/>
    </row>
    <row r="17" customFormat="false" ht="26.85" hidden="false" customHeight="false" outlineLevel="0" collapsed="false">
      <c r="A17" s="24" t="s">
        <v>49</v>
      </c>
      <c r="B17" s="24" t="s">
        <v>50</v>
      </c>
      <c r="C17" s="24" t="s">
        <v>51</v>
      </c>
      <c r="D17" s="24" t="s">
        <v>52</v>
      </c>
      <c r="E17" s="24" t="s">
        <v>53</v>
      </c>
      <c r="F17" s="24" t="s">
        <v>54</v>
      </c>
      <c r="G17" s="24" t="s">
        <v>55</v>
      </c>
      <c r="H17" s="24" t="s">
        <v>56</v>
      </c>
      <c r="I17" s="2"/>
    </row>
    <row r="18" customFormat="false" ht="15" hidden="false" customHeight="false" outlineLevel="0" collapsed="false">
      <c r="A18" s="17" t="str">
        <f aca="false">'Danh mục'!A5</f>
        <v>WINDI</v>
      </c>
      <c r="B18" s="18" t="n">
        <f aca="false">SUMIFS('Giao dịch TK'!$D$5:$D$504,'Giao dịch TK'!$B$5:$B$504,$A18)</f>
        <v>21700</v>
      </c>
      <c r="C18" s="18" t="n">
        <f aca="false">SUMIFS('Giao dịch TK'!$E$5:$E$504,'Giao dịch TK'!$B$5:$B$504,$A18)</f>
        <v>52000</v>
      </c>
      <c r="D18" s="18" t="n">
        <f aca="false">SUMIFS('Giao dịch TK'!$F$5:$F$504,'Giao dịch TK'!$B$5:$B$504,$A18)</f>
        <v>2269</v>
      </c>
      <c r="E18" s="18" t="n">
        <f aca="false">B18+C18-D18</f>
        <v>71431</v>
      </c>
      <c r="F18" s="18" t="n">
        <f aca="false">B18-D18</f>
        <v>19431</v>
      </c>
      <c r="G18" s="18" t="n">
        <f aca="false">COUNTIFS('Giao dịch TK'!$B$5:$B$504,$A18)</f>
        <v>19</v>
      </c>
      <c r="H18" s="18" t="n">
        <f aca="false">SUMIFS('Thu Chi'!$E$5:$E$504,'Thu Chi'!$C$5:$C$504,"Hoa hồng",'Thu Chi'!$B$5:$B$504,"WINDY")</f>
        <v>23772</v>
      </c>
      <c r="I18" s="2"/>
    </row>
    <row r="19" customFormat="false" ht="15" hidden="false" customHeight="false" outlineLevel="0" collapsed="false">
      <c r="A19" s="17" t="str">
        <f aca="false">'Danh mục'!A6</f>
        <v>CAO TIẾN</v>
      </c>
      <c r="B19" s="18" t="n">
        <f aca="false">SUMIFS('Giao dịch TK'!$D$5:$D$504,'Giao dịch TK'!$B$5:$B$504,$A19)</f>
        <v>34230</v>
      </c>
      <c r="C19" s="18" t="n">
        <f aca="false">SUMIFS('Giao dịch TK'!$E$5:$E$504,'Giao dịch TK'!$B$5:$B$504,$A19)</f>
        <v>23190</v>
      </c>
      <c r="D19" s="18" t="n">
        <f aca="false">SUMIFS('Giao dịch TK'!$F$5:$F$504,'Giao dịch TK'!$B$5:$B$504,$A19)</f>
        <v>1320</v>
      </c>
      <c r="E19" s="18" t="n">
        <f aca="false">B19+C19-D19</f>
        <v>56100</v>
      </c>
      <c r="F19" s="18" t="n">
        <f aca="false">B19-D19</f>
        <v>32910</v>
      </c>
      <c r="G19" s="18" t="n">
        <f aca="false">COUNTIFS('Giao dịch TK'!$B$5:$B$504,$A19)</f>
        <v>26</v>
      </c>
      <c r="H19" s="25" t="n">
        <v>0</v>
      </c>
      <c r="I19" s="2"/>
    </row>
    <row r="20" customFormat="false" ht="15" hidden="false" customHeight="false" outlineLevel="0" collapsed="false">
      <c r="A20" s="17" t="str">
        <f aca="false">'Danh mục'!A7</f>
        <v>SU</v>
      </c>
      <c r="B20" s="18" t="n">
        <f aca="false">SUMIFS('Giao dịch TK'!$D$5:$D$504,'Giao dịch TK'!$B$5:$B$504,$A20)</f>
        <v>8210</v>
      </c>
      <c r="C20" s="18" t="n">
        <f aca="false">SUMIFS('Giao dịch TK'!$E$5:$E$504,'Giao dịch TK'!$B$5:$B$504,$A20)</f>
        <v>9200</v>
      </c>
      <c r="D20" s="18" t="n">
        <f aca="false">SUMIFS('Giao dịch TK'!$F$5:$F$504,'Giao dịch TK'!$B$5:$B$504,$A20)</f>
        <v>751</v>
      </c>
      <c r="E20" s="18" t="n">
        <f aca="false">B20+C20-D20</f>
        <v>16659</v>
      </c>
      <c r="F20" s="18" t="n">
        <f aca="false">B20-D20</f>
        <v>7459</v>
      </c>
      <c r="G20" s="18" t="n">
        <f aca="false">COUNTIFS('Giao dịch TK'!$B$5:$B$504,$A20)</f>
        <v>6</v>
      </c>
      <c r="H20" s="25" t="n">
        <v>0</v>
      </c>
      <c r="I20" s="2"/>
    </row>
    <row r="21" customFormat="false" ht="15" hidden="false" customHeight="false" outlineLevel="0" collapsed="false">
      <c r="A21" s="17" t="str">
        <f aca="false">'Danh mục'!A8</f>
        <v>CHƯA RÕ (bảng cột Y)</v>
      </c>
      <c r="B21" s="18" t="n">
        <f aca="false">SUMIFS('Giao dịch TK'!$D$5:$D$504,'Giao dịch TK'!$B$5:$B$504,$A21)</f>
        <v>750</v>
      </c>
      <c r="C21" s="18" t="n">
        <f aca="false">SUMIFS('Giao dịch TK'!$E$5:$E$504,'Giao dịch TK'!$B$5:$B$504,$A21)</f>
        <v>0</v>
      </c>
      <c r="D21" s="18" t="n">
        <f aca="false">SUMIFS('Giao dịch TK'!$F$5:$F$504,'Giao dịch TK'!$B$5:$B$504,$A21)</f>
        <v>500</v>
      </c>
      <c r="E21" s="18" t="n">
        <f aca="false">B21+C21-D21</f>
        <v>250</v>
      </c>
      <c r="F21" s="18" t="n">
        <f aca="false">B21-D21</f>
        <v>250</v>
      </c>
      <c r="G21" s="18" t="n">
        <f aca="false">COUNTIFS('Giao dịch TK'!$B$5:$B$504,$A21)</f>
        <v>3</v>
      </c>
      <c r="H21" s="25" t="n">
        <v>0</v>
      </c>
      <c r="I21" s="2"/>
    </row>
    <row r="22" customFormat="false" ht="15" hidden="false" customHeight="false" outlineLevel="0" collapsed="false">
      <c r="A22" s="17" t="str">
        <f aca="false">'Danh mục'!A9</f>
        <v>ĐẠI LÝ NGỌC LINH 65</v>
      </c>
      <c r="B22" s="18" t="n">
        <f aca="false">SUMIFS('Giao dịch TK'!$D$5:$D$504,'Giao dịch TK'!$B$5:$B$504,$A22)</f>
        <v>4000</v>
      </c>
      <c r="C22" s="18" t="n">
        <f aca="false">SUMIFS('Giao dịch TK'!$E$5:$E$504,'Giao dịch TK'!$B$5:$B$504,$A22)</f>
        <v>0</v>
      </c>
      <c r="D22" s="18" t="n">
        <f aca="false">SUMIFS('Giao dịch TK'!$F$5:$F$504,'Giao dịch TK'!$B$5:$B$504,$A22)</f>
        <v>0</v>
      </c>
      <c r="E22" s="18" t="n">
        <f aca="false">B22+C22-D22</f>
        <v>4000</v>
      </c>
      <c r="F22" s="18" t="n">
        <f aca="false">B22-D22</f>
        <v>4000</v>
      </c>
      <c r="G22" s="18" t="n">
        <f aca="false">COUNTIFS('Giao dịch TK'!$B$5:$B$504,$A22)</f>
        <v>2</v>
      </c>
      <c r="H22" s="18" t="n">
        <f aca="false">SUMIFS('Thu Chi'!$E$5:$E$504,'Thu Chi'!$C$5:$C$504,"Hoa hồng",'Thu Chi'!$B$5:$B$504,"ĐẠI LÝ NGỌC LINH")</f>
        <v>5200</v>
      </c>
      <c r="I22" s="2"/>
    </row>
    <row r="23" customFormat="false" ht="15" hidden="false" customHeight="false" outlineLevel="0" collapsed="false">
      <c r="A23" s="17" t="str">
        <f aca="false">'Danh mục'!A10</f>
        <v>RICON</v>
      </c>
      <c r="B23" s="18" t="n">
        <f aca="false">SUMIFS('Giao dịch TK'!$D$5:$D$504,'Giao dịch TK'!$B$5:$B$504,$A23)</f>
        <v>3500</v>
      </c>
      <c r="C23" s="18" t="n">
        <f aca="false">SUMIFS('Giao dịch TK'!$E$5:$E$504,'Giao dịch TK'!$B$5:$B$504,$A23)</f>
        <v>0</v>
      </c>
      <c r="D23" s="18" t="n">
        <f aca="false">SUMIFS('Giao dịch TK'!$F$5:$F$504,'Giao dịch TK'!$B$5:$B$504,$A23)</f>
        <v>0</v>
      </c>
      <c r="E23" s="18" t="n">
        <f aca="false">B23+C23-D23</f>
        <v>3500</v>
      </c>
      <c r="F23" s="18" t="n">
        <f aca="false">B23-D23</f>
        <v>3500</v>
      </c>
      <c r="G23" s="18" t="n">
        <f aca="false">COUNTIFS('Giao dịch TK'!$B$5:$B$504,$A23)</f>
        <v>2</v>
      </c>
      <c r="H23" s="25" t="n">
        <v>0</v>
      </c>
      <c r="I23" s="2"/>
    </row>
    <row r="24" customFormat="false" ht="15" hidden="false" customHeight="false" outlineLevel="0" collapsed="false">
      <c r="A24" s="20" t="s">
        <v>47</v>
      </c>
      <c r="B24" s="22" t="n">
        <f aca="false">SUM(B18:B23)</f>
        <v>72390</v>
      </c>
      <c r="C24" s="22" t="n">
        <f aca="false">SUM(C18:C23)</f>
        <v>84390</v>
      </c>
      <c r="D24" s="22" t="n">
        <f aca="false">SUM(D18:D23)</f>
        <v>4840</v>
      </c>
      <c r="E24" s="22" t="n">
        <f aca="false">SUM(E18:E23)</f>
        <v>151940</v>
      </c>
      <c r="F24" s="22" t="n">
        <f aca="false">SUM(F18:F23)</f>
        <v>67550</v>
      </c>
      <c r="G24" s="22" t="n">
        <f aca="false">SUM(G18:G23)</f>
        <v>58</v>
      </c>
      <c r="H24" s="22" t="n">
        <f aca="false">SUM(H18:H23)</f>
        <v>28972</v>
      </c>
      <c r="I24" s="2"/>
    </row>
    <row r="25" customFormat="false" ht="15" hidden="false" customHeight="false" outlineLevel="0" collapsed="false">
      <c r="A25" s="3" t="s">
        <v>57</v>
      </c>
      <c r="B25" s="2"/>
      <c r="C25" s="2"/>
      <c r="D25" s="2"/>
      <c r="E25" s="2"/>
      <c r="F25" s="2"/>
      <c r="G25" s="2"/>
      <c r="H25" s="2"/>
      <c r="I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5" hidden="false" customHeight="false" outlineLevel="0" collapsed="false">
      <c r="A27" s="13" t="s">
        <v>58</v>
      </c>
      <c r="B27" s="2"/>
      <c r="C27" s="2"/>
      <c r="D27" s="2"/>
      <c r="E27" s="2"/>
      <c r="F27" s="2"/>
      <c r="G27" s="2"/>
      <c r="H27" s="2"/>
      <c r="I27" s="2"/>
    </row>
    <row r="28" customFormat="false" ht="26.85" hidden="false" customHeight="false" outlineLevel="0" collapsed="false">
      <c r="A28" s="24" t="s">
        <v>59</v>
      </c>
      <c r="B28" s="24" t="s">
        <v>41</v>
      </c>
      <c r="C28" s="24" t="s">
        <v>42</v>
      </c>
      <c r="D28" s="24" t="s">
        <v>60</v>
      </c>
      <c r="E28" s="24" t="s">
        <v>61</v>
      </c>
      <c r="F28" s="24" t="s">
        <v>62</v>
      </c>
      <c r="G28" s="24" t="s">
        <v>63</v>
      </c>
      <c r="H28" s="24" t="s">
        <v>64</v>
      </c>
      <c r="I28" s="24" t="s">
        <v>65</v>
      </c>
    </row>
    <row r="29" customFormat="false" ht="15" hidden="false" customHeight="false" outlineLevel="0" collapsed="false">
      <c r="A29" s="26" t="n">
        <f aca="false">DATE(2026,10,1)</f>
        <v>46296</v>
      </c>
      <c r="B29" s="18" t="n">
        <f aca="false">SUMIFS('Thu Chi'!$D$5:$D$504,'Thu Chi'!$A$5:$A$504,$A29)</f>
        <v>0</v>
      </c>
      <c r="C29" s="18" t="n">
        <f aca="false">SUMIFS('Thu Chi'!$E$5:$E$504,'Thu Chi'!$A$5:$A$504,$A29)</f>
        <v>14950</v>
      </c>
      <c r="D29" s="18" t="n">
        <f aca="false">B29-C29</f>
        <v>-14950</v>
      </c>
      <c r="E29" s="18" t="n">
        <f aca="false">$B$5+SUM($D$29:D29)</f>
        <v>-14950</v>
      </c>
      <c r="F29" s="18" t="n">
        <f aca="false">SUMIFS('Giao dịch TK'!$D$5:$D$504,'Giao dịch TK'!$A$5:$A$504,$A29)</f>
        <v>23760</v>
      </c>
      <c r="G29" s="18" t="n">
        <f aca="false">SUMIFS('Giao dịch TK'!$E$5:$E$504,'Giao dịch TK'!$A$5:$A$504,$A29)</f>
        <v>20000</v>
      </c>
      <c r="H29" s="18" t="n">
        <f aca="false">SUMIFS('Giao dịch TK'!$F$5:$F$504,'Giao dịch TK'!$A$5:$A$504,$A29)</f>
        <v>1359</v>
      </c>
      <c r="I29" s="18" t="n">
        <f aca="false">F29+G29-H29</f>
        <v>42401</v>
      </c>
    </row>
    <row r="30" customFormat="false" ht="15" hidden="false" customHeight="false" outlineLevel="0" collapsed="false">
      <c r="A30" s="26" t="n">
        <f aca="false">A29+1</f>
        <v>46297</v>
      </c>
      <c r="B30" s="18" t="n">
        <f aca="false">SUMIFS('Thu Chi'!$D$5:$D$504,'Thu Chi'!$A$5:$A$504,$A30)</f>
        <v>9200</v>
      </c>
      <c r="C30" s="18" t="n">
        <f aca="false">SUMIFS('Thu Chi'!$E$5:$E$504,'Thu Chi'!$A$5:$A$504,$A30)</f>
        <v>24917</v>
      </c>
      <c r="D30" s="18" t="n">
        <f aca="false">B30-C30</f>
        <v>-15717</v>
      </c>
      <c r="E30" s="18" t="n">
        <f aca="false">$B$5+SUM($D$29:D30)</f>
        <v>-30667</v>
      </c>
      <c r="F30" s="18" t="n">
        <f aca="false">SUMIFS('Giao dịch TK'!$D$5:$D$504,'Giao dịch TK'!$A$5:$A$504,$A30)</f>
        <v>4050</v>
      </c>
      <c r="G30" s="18" t="n">
        <f aca="false">SUMIFS('Giao dịch TK'!$E$5:$E$504,'Giao dịch TK'!$A$5:$A$504,$A30)</f>
        <v>16000</v>
      </c>
      <c r="H30" s="18" t="n">
        <f aca="false">SUMIFS('Giao dịch TK'!$F$5:$F$504,'Giao dịch TK'!$A$5:$A$504,$A30)</f>
        <v>1161</v>
      </c>
      <c r="I30" s="18" t="n">
        <f aca="false">F30+G30-H30</f>
        <v>18889</v>
      </c>
    </row>
    <row r="31" customFormat="false" ht="15" hidden="false" customHeight="false" outlineLevel="0" collapsed="false">
      <c r="A31" s="26" t="n">
        <f aca="false">A30+1</f>
        <v>46298</v>
      </c>
      <c r="B31" s="18" t="n">
        <f aca="false">SUMIFS('Thu Chi'!$D$5:$D$504,'Thu Chi'!$A$5:$A$504,$A31)</f>
        <v>40000</v>
      </c>
      <c r="C31" s="18" t="n">
        <f aca="false">SUMIFS('Thu Chi'!$E$5:$E$504,'Thu Chi'!$A$5:$A$504,$A31)</f>
        <v>42001</v>
      </c>
      <c r="D31" s="18" t="n">
        <f aca="false">B31-C31</f>
        <v>-2001</v>
      </c>
      <c r="E31" s="18" t="n">
        <f aca="false">$B$5+SUM($D$29:D31)</f>
        <v>-32668</v>
      </c>
      <c r="F31" s="18" t="n">
        <f aca="false">SUMIFS('Giao dịch TK'!$D$5:$D$504,'Giao dịch TK'!$A$5:$A$504,$A31)</f>
        <v>28980</v>
      </c>
      <c r="G31" s="18" t="n">
        <f aca="false">SUMIFS('Giao dịch TK'!$E$5:$E$504,'Giao dịch TK'!$A$5:$A$504,$A31)</f>
        <v>10600</v>
      </c>
      <c r="H31" s="18" t="n">
        <f aca="false">SUMIFS('Giao dịch TK'!$F$5:$F$504,'Giao dịch TK'!$A$5:$A$504,$A31)</f>
        <v>1620</v>
      </c>
      <c r="I31" s="18" t="n">
        <f aca="false">F31+G31-H31</f>
        <v>37960</v>
      </c>
    </row>
    <row r="32" customFormat="false" ht="15" hidden="false" customHeight="false" outlineLevel="0" collapsed="false">
      <c r="A32" s="26" t="n">
        <f aca="false">A31+1</f>
        <v>46299</v>
      </c>
      <c r="B32" s="18" t="n">
        <f aca="false">SUMIFS('Thu Chi'!$D$5:$D$504,'Thu Chi'!$A$5:$A$504,$A32)</f>
        <v>300000</v>
      </c>
      <c r="C32" s="18" t="n">
        <f aca="false">SUMIFS('Thu Chi'!$E$5:$E$504,'Thu Chi'!$A$5:$A$504,$A32)</f>
        <v>8826</v>
      </c>
      <c r="D32" s="18" t="n">
        <f aca="false">B32-C32</f>
        <v>291174</v>
      </c>
      <c r="E32" s="18" t="n">
        <f aca="false">$B$5+SUM($D$29:D32)</f>
        <v>258506</v>
      </c>
      <c r="F32" s="18" t="n">
        <f aca="false">SUMIFS('Giao dịch TK'!$D$5:$D$504,'Giao dịch TK'!$A$5:$A$504,$A32)</f>
        <v>7500</v>
      </c>
      <c r="G32" s="18" t="n">
        <f aca="false">SUMIFS('Giao dịch TK'!$E$5:$E$504,'Giao dịch TK'!$A$5:$A$504,$A32)</f>
        <v>29190</v>
      </c>
      <c r="H32" s="18" t="n">
        <f aca="false">SUMIFS('Giao dịch TK'!$F$5:$F$504,'Giao dịch TK'!$A$5:$A$504,$A32)</f>
        <v>0</v>
      </c>
      <c r="I32" s="18" t="n">
        <f aca="false">F32+G32-H32</f>
        <v>36690</v>
      </c>
    </row>
    <row r="33" customFormat="false" ht="15" hidden="false" customHeight="false" outlineLevel="0" collapsed="false">
      <c r="A33" s="26" t="n">
        <f aca="false">A32+1</f>
        <v>46300</v>
      </c>
      <c r="B33" s="18" t="n">
        <f aca="false">SUMIFS('Thu Chi'!$D$5:$D$504,'Thu Chi'!$A$5:$A$504,$A33)</f>
        <v>0</v>
      </c>
      <c r="C33" s="18" t="n">
        <f aca="false">SUMIFS('Thu Chi'!$E$5:$E$504,'Thu Chi'!$A$5:$A$504,$A33)</f>
        <v>22500</v>
      </c>
      <c r="D33" s="18" t="n">
        <f aca="false">B33-C33</f>
        <v>-22500</v>
      </c>
      <c r="E33" s="18" t="n">
        <f aca="false">$B$5+SUM($D$29:D33)</f>
        <v>236006</v>
      </c>
      <c r="F33" s="18" t="n">
        <f aca="false">SUMIFS('Giao dịch TK'!$D$5:$D$504,'Giao dịch TK'!$A$5:$A$504,$A33)</f>
        <v>4100</v>
      </c>
      <c r="G33" s="18" t="n">
        <f aca="false">SUMIFS('Giao dịch TK'!$E$5:$E$504,'Giao dịch TK'!$A$5:$A$504,$A33)</f>
        <v>8600</v>
      </c>
      <c r="H33" s="18" t="n">
        <f aca="false">SUMIFS('Giao dịch TK'!$F$5:$F$504,'Giao dịch TK'!$A$5:$A$504,$A33)</f>
        <v>700</v>
      </c>
      <c r="I33" s="18" t="n">
        <f aca="false">F33+G33-H33</f>
        <v>12000</v>
      </c>
    </row>
    <row r="34" customFormat="false" ht="15" hidden="false" customHeight="false" outlineLevel="0" collapsed="false">
      <c r="A34" s="26" t="n">
        <f aca="false">A33+1</f>
        <v>46301</v>
      </c>
      <c r="B34" s="18" t="n">
        <f aca="false">SUMIFS('Thu Chi'!$D$5:$D$504,'Thu Chi'!$A$5:$A$504,$A34)</f>
        <v>0</v>
      </c>
      <c r="C34" s="18" t="n">
        <f aca="false">SUMIFS('Thu Chi'!$E$5:$E$504,'Thu Chi'!$A$5:$A$504,$A34)</f>
        <v>0</v>
      </c>
      <c r="D34" s="18" t="n">
        <f aca="false">B34-C34</f>
        <v>0</v>
      </c>
      <c r="E34" s="18" t="n">
        <f aca="false">$B$5+SUM($D$29:D34)</f>
        <v>236006</v>
      </c>
      <c r="F34" s="18" t="n">
        <f aca="false">SUMIFS('Giao dịch TK'!$D$5:$D$504,'Giao dịch TK'!$A$5:$A$504,$A34)</f>
        <v>0</v>
      </c>
      <c r="G34" s="18" t="n">
        <f aca="false">SUMIFS('Giao dịch TK'!$E$5:$E$504,'Giao dịch TK'!$A$5:$A$504,$A34)</f>
        <v>0</v>
      </c>
      <c r="H34" s="18" t="n">
        <f aca="false">SUMIFS('Giao dịch TK'!$F$5:$F$504,'Giao dịch TK'!$A$5:$A$504,$A34)</f>
        <v>0</v>
      </c>
      <c r="I34" s="18" t="n">
        <f aca="false">F34+G34-H34</f>
        <v>0</v>
      </c>
    </row>
    <row r="35" customFormat="false" ht="15" hidden="false" customHeight="false" outlineLevel="0" collapsed="false">
      <c r="A35" s="26" t="n">
        <f aca="false">A34+1</f>
        <v>46302</v>
      </c>
      <c r="B35" s="18" t="n">
        <f aca="false">SUMIFS('Thu Chi'!$D$5:$D$504,'Thu Chi'!$A$5:$A$504,$A35)</f>
        <v>0</v>
      </c>
      <c r="C35" s="18" t="n">
        <f aca="false">SUMIFS('Thu Chi'!$E$5:$E$504,'Thu Chi'!$A$5:$A$504,$A35)</f>
        <v>0</v>
      </c>
      <c r="D35" s="18" t="n">
        <f aca="false">B35-C35</f>
        <v>0</v>
      </c>
      <c r="E35" s="18" t="n">
        <f aca="false">$B$5+SUM($D$29:D35)</f>
        <v>236006</v>
      </c>
      <c r="F35" s="18" t="n">
        <f aca="false">SUMIFS('Giao dịch TK'!$D$5:$D$504,'Giao dịch TK'!$A$5:$A$504,$A35)</f>
        <v>0</v>
      </c>
      <c r="G35" s="18" t="n">
        <f aca="false">SUMIFS('Giao dịch TK'!$E$5:$E$504,'Giao dịch TK'!$A$5:$A$504,$A35)</f>
        <v>0</v>
      </c>
      <c r="H35" s="18" t="n">
        <f aca="false">SUMIFS('Giao dịch TK'!$F$5:$F$504,'Giao dịch TK'!$A$5:$A$504,$A35)</f>
        <v>0</v>
      </c>
      <c r="I35" s="18" t="n">
        <f aca="false">F35+G35-H35</f>
        <v>0</v>
      </c>
    </row>
    <row r="36" customFormat="false" ht="15" hidden="false" customHeight="false" outlineLevel="0" collapsed="false">
      <c r="A36" s="26" t="n">
        <f aca="false">A35+1</f>
        <v>46303</v>
      </c>
      <c r="B36" s="18" t="n">
        <f aca="false">SUMIFS('Thu Chi'!$D$5:$D$504,'Thu Chi'!$A$5:$A$504,$A36)</f>
        <v>0</v>
      </c>
      <c r="C36" s="18" t="n">
        <f aca="false">SUMIFS('Thu Chi'!$E$5:$E$504,'Thu Chi'!$A$5:$A$504,$A36)</f>
        <v>0</v>
      </c>
      <c r="D36" s="18" t="n">
        <f aca="false">B36-C36</f>
        <v>0</v>
      </c>
      <c r="E36" s="18" t="n">
        <f aca="false">$B$5+SUM($D$29:D36)</f>
        <v>236006</v>
      </c>
      <c r="F36" s="18" t="n">
        <f aca="false">SUMIFS('Giao dịch TK'!$D$5:$D$504,'Giao dịch TK'!$A$5:$A$504,$A36)</f>
        <v>0</v>
      </c>
      <c r="G36" s="18" t="n">
        <f aca="false">SUMIFS('Giao dịch TK'!$E$5:$E$504,'Giao dịch TK'!$A$5:$A$504,$A36)</f>
        <v>0</v>
      </c>
      <c r="H36" s="18" t="n">
        <f aca="false">SUMIFS('Giao dịch TK'!$F$5:$F$504,'Giao dịch TK'!$A$5:$A$504,$A36)</f>
        <v>0</v>
      </c>
      <c r="I36" s="18" t="n">
        <f aca="false">F36+G36-H36</f>
        <v>0</v>
      </c>
    </row>
    <row r="37" customFormat="false" ht="15" hidden="false" customHeight="false" outlineLevel="0" collapsed="false">
      <c r="A37" s="26" t="n">
        <f aca="false">A36+1</f>
        <v>46304</v>
      </c>
      <c r="B37" s="18" t="n">
        <f aca="false">SUMIFS('Thu Chi'!$D$5:$D$504,'Thu Chi'!$A$5:$A$504,$A37)</f>
        <v>0</v>
      </c>
      <c r="C37" s="18" t="n">
        <f aca="false">SUMIFS('Thu Chi'!$E$5:$E$504,'Thu Chi'!$A$5:$A$504,$A37)</f>
        <v>0</v>
      </c>
      <c r="D37" s="18" t="n">
        <f aca="false">B37-C37</f>
        <v>0</v>
      </c>
      <c r="E37" s="18" t="n">
        <f aca="false">$B$5+SUM($D$29:D37)</f>
        <v>236006</v>
      </c>
      <c r="F37" s="18" t="n">
        <f aca="false">SUMIFS('Giao dịch TK'!$D$5:$D$504,'Giao dịch TK'!$A$5:$A$504,$A37)</f>
        <v>0</v>
      </c>
      <c r="G37" s="18" t="n">
        <f aca="false">SUMIFS('Giao dịch TK'!$E$5:$E$504,'Giao dịch TK'!$A$5:$A$504,$A37)</f>
        <v>0</v>
      </c>
      <c r="H37" s="18" t="n">
        <f aca="false">SUMIFS('Giao dịch TK'!$F$5:$F$504,'Giao dịch TK'!$A$5:$A$504,$A37)</f>
        <v>0</v>
      </c>
      <c r="I37" s="18" t="n">
        <f aca="false">F37+G37-H37</f>
        <v>0</v>
      </c>
    </row>
    <row r="38" customFormat="false" ht="15" hidden="false" customHeight="false" outlineLevel="0" collapsed="false">
      <c r="A38" s="26" t="n">
        <f aca="false">A37+1</f>
        <v>46305</v>
      </c>
      <c r="B38" s="18" t="n">
        <f aca="false">SUMIFS('Thu Chi'!$D$5:$D$504,'Thu Chi'!$A$5:$A$504,$A38)</f>
        <v>0</v>
      </c>
      <c r="C38" s="18" t="n">
        <f aca="false">SUMIFS('Thu Chi'!$E$5:$E$504,'Thu Chi'!$A$5:$A$504,$A38)</f>
        <v>0</v>
      </c>
      <c r="D38" s="18" t="n">
        <f aca="false">B38-C38</f>
        <v>0</v>
      </c>
      <c r="E38" s="18" t="n">
        <f aca="false">$B$5+SUM($D$29:D38)</f>
        <v>236006</v>
      </c>
      <c r="F38" s="18" t="n">
        <f aca="false">SUMIFS('Giao dịch TK'!$D$5:$D$504,'Giao dịch TK'!$A$5:$A$504,$A38)</f>
        <v>0</v>
      </c>
      <c r="G38" s="18" t="n">
        <f aca="false">SUMIFS('Giao dịch TK'!$E$5:$E$504,'Giao dịch TK'!$A$5:$A$504,$A38)</f>
        <v>0</v>
      </c>
      <c r="H38" s="18" t="n">
        <f aca="false">SUMIFS('Giao dịch TK'!$F$5:$F$504,'Giao dịch TK'!$A$5:$A$504,$A38)</f>
        <v>0</v>
      </c>
      <c r="I38" s="18" t="n">
        <f aca="false">F38+G38-H38</f>
        <v>0</v>
      </c>
    </row>
    <row r="39" customFormat="false" ht="15" hidden="false" customHeight="false" outlineLevel="0" collapsed="false">
      <c r="A39" s="26" t="n">
        <f aca="false">A38+1</f>
        <v>46306</v>
      </c>
      <c r="B39" s="18" t="n">
        <f aca="false">SUMIFS('Thu Chi'!$D$5:$D$504,'Thu Chi'!$A$5:$A$504,$A39)</f>
        <v>0</v>
      </c>
      <c r="C39" s="18" t="n">
        <f aca="false">SUMIFS('Thu Chi'!$E$5:$E$504,'Thu Chi'!$A$5:$A$504,$A39)</f>
        <v>0</v>
      </c>
      <c r="D39" s="18" t="n">
        <f aca="false">B39-C39</f>
        <v>0</v>
      </c>
      <c r="E39" s="18" t="n">
        <f aca="false">$B$5+SUM($D$29:D39)</f>
        <v>236006</v>
      </c>
      <c r="F39" s="18" t="n">
        <f aca="false">SUMIFS('Giao dịch TK'!$D$5:$D$504,'Giao dịch TK'!$A$5:$A$504,$A39)</f>
        <v>0</v>
      </c>
      <c r="G39" s="18" t="n">
        <f aca="false">SUMIFS('Giao dịch TK'!$E$5:$E$504,'Giao dịch TK'!$A$5:$A$504,$A39)</f>
        <v>0</v>
      </c>
      <c r="H39" s="18" t="n">
        <f aca="false">SUMIFS('Giao dịch TK'!$F$5:$F$504,'Giao dịch TK'!$A$5:$A$504,$A39)</f>
        <v>0</v>
      </c>
      <c r="I39" s="18" t="n">
        <f aca="false">F39+G39-H39</f>
        <v>0</v>
      </c>
    </row>
    <row r="40" customFormat="false" ht="15" hidden="false" customHeight="false" outlineLevel="0" collapsed="false">
      <c r="A40" s="26" t="n">
        <f aca="false">A39+1</f>
        <v>46307</v>
      </c>
      <c r="B40" s="18" t="n">
        <f aca="false">SUMIFS('Thu Chi'!$D$5:$D$504,'Thu Chi'!$A$5:$A$504,$A40)</f>
        <v>0</v>
      </c>
      <c r="C40" s="18" t="n">
        <f aca="false">SUMIFS('Thu Chi'!$E$5:$E$504,'Thu Chi'!$A$5:$A$504,$A40)</f>
        <v>0</v>
      </c>
      <c r="D40" s="18" t="n">
        <f aca="false">B40-C40</f>
        <v>0</v>
      </c>
      <c r="E40" s="18" t="n">
        <f aca="false">$B$5+SUM($D$29:D40)</f>
        <v>236006</v>
      </c>
      <c r="F40" s="18" t="n">
        <f aca="false">SUMIFS('Giao dịch TK'!$D$5:$D$504,'Giao dịch TK'!$A$5:$A$504,$A40)</f>
        <v>0</v>
      </c>
      <c r="G40" s="18" t="n">
        <f aca="false">SUMIFS('Giao dịch TK'!$E$5:$E$504,'Giao dịch TK'!$A$5:$A$504,$A40)</f>
        <v>0</v>
      </c>
      <c r="H40" s="18" t="n">
        <f aca="false">SUMIFS('Giao dịch TK'!$F$5:$F$504,'Giao dịch TK'!$A$5:$A$504,$A40)</f>
        <v>0</v>
      </c>
      <c r="I40" s="18" t="n">
        <f aca="false">F40+G40-H40</f>
        <v>0</v>
      </c>
    </row>
    <row r="41" customFormat="false" ht="15" hidden="false" customHeight="false" outlineLevel="0" collapsed="false">
      <c r="A41" s="26" t="n">
        <f aca="false">A40+1</f>
        <v>46308</v>
      </c>
      <c r="B41" s="18" t="n">
        <f aca="false">SUMIFS('Thu Chi'!$D$5:$D$504,'Thu Chi'!$A$5:$A$504,$A41)</f>
        <v>0</v>
      </c>
      <c r="C41" s="18" t="n">
        <f aca="false">SUMIFS('Thu Chi'!$E$5:$E$504,'Thu Chi'!$A$5:$A$504,$A41)</f>
        <v>0</v>
      </c>
      <c r="D41" s="18" t="n">
        <f aca="false">B41-C41</f>
        <v>0</v>
      </c>
      <c r="E41" s="18" t="n">
        <f aca="false">$B$5+SUM($D$29:D41)</f>
        <v>236006</v>
      </c>
      <c r="F41" s="18" t="n">
        <f aca="false">SUMIFS('Giao dịch TK'!$D$5:$D$504,'Giao dịch TK'!$A$5:$A$504,$A41)</f>
        <v>0</v>
      </c>
      <c r="G41" s="18" t="n">
        <f aca="false">SUMIFS('Giao dịch TK'!$E$5:$E$504,'Giao dịch TK'!$A$5:$A$504,$A41)</f>
        <v>0</v>
      </c>
      <c r="H41" s="18" t="n">
        <f aca="false">SUMIFS('Giao dịch TK'!$F$5:$F$504,'Giao dịch TK'!$A$5:$A$504,$A41)</f>
        <v>0</v>
      </c>
      <c r="I41" s="18" t="n">
        <f aca="false">F41+G41-H41</f>
        <v>0</v>
      </c>
    </row>
    <row r="42" customFormat="false" ht="15" hidden="false" customHeight="false" outlineLevel="0" collapsed="false">
      <c r="A42" s="26" t="n">
        <f aca="false">A41+1</f>
        <v>46309</v>
      </c>
      <c r="B42" s="18" t="n">
        <f aca="false">SUMIFS('Thu Chi'!$D$5:$D$504,'Thu Chi'!$A$5:$A$504,$A42)</f>
        <v>0</v>
      </c>
      <c r="C42" s="18" t="n">
        <f aca="false">SUMIFS('Thu Chi'!$E$5:$E$504,'Thu Chi'!$A$5:$A$504,$A42)</f>
        <v>0</v>
      </c>
      <c r="D42" s="18" t="n">
        <f aca="false">B42-C42</f>
        <v>0</v>
      </c>
      <c r="E42" s="18" t="n">
        <f aca="false">$B$5+SUM($D$29:D42)</f>
        <v>236006</v>
      </c>
      <c r="F42" s="18" t="n">
        <f aca="false">SUMIFS('Giao dịch TK'!$D$5:$D$504,'Giao dịch TK'!$A$5:$A$504,$A42)</f>
        <v>0</v>
      </c>
      <c r="G42" s="18" t="n">
        <f aca="false">SUMIFS('Giao dịch TK'!$E$5:$E$504,'Giao dịch TK'!$A$5:$A$504,$A42)</f>
        <v>0</v>
      </c>
      <c r="H42" s="18" t="n">
        <f aca="false">SUMIFS('Giao dịch TK'!$F$5:$F$504,'Giao dịch TK'!$A$5:$A$504,$A42)</f>
        <v>0</v>
      </c>
      <c r="I42" s="18" t="n">
        <f aca="false">F42+G42-H42</f>
        <v>0</v>
      </c>
    </row>
    <row r="43" customFormat="false" ht="15" hidden="false" customHeight="false" outlineLevel="0" collapsed="false">
      <c r="A43" s="26" t="n">
        <f aca="false">A42+1</f>
        <v>46310</v>
      </c>
      <c r="B43" s="18" t="n">
        <f aca="false">SUMIFS('Thu Chi'!$D$5:$D$504,'Thu Chi'!$A$5:$A$504,$A43)</f>
        <v>0</v>
      </c>
      <c r="C43" s="18" t="n">
        <f aca="false">SUMIFS('Thu Chi'!$E$5:$E$504,'Thu Chi'!$A$5:$A$504,$A43)</f>
        <v>0</v>
      </c>
      <c r="D43" s="18" t="n">
        <f aca="false">B43-C43</f>
        <v>0</v>
      </c>
      <c r="E43" s="18" t="n">
        <f aca="false">$B$5+SUM($D$29:D43)</f>
        <v>236006</v>
      </c>
      <c r="F43" s="18" t="n">
        <f aca="false">SUMIFS('Giao dịch TK'!$D$5:$D$504,'Giao dịch TK'!$A$5:$A$504,$A43)</f>
        <v>0</v>
      </c>
      <c r="G43" s="18" t="n">
        <f aca="false">SUMIFS('Giao dịch TK'!$E$5:$E$504,'Giao dịch TK'!$A$5:$A$504,$A43)</f>
        <v>0</v>
      </c>
      <c r="H43" s="18" t="n">
        <f aca="false">SUMIFS('Giao dịch TK'!$F$5:$F$504,'Giao dịch TK'!$A$5:$A$504,$A43)</f>
        <v>0</v>
      </c>
      <c r="I43" s="18" t="n">
        <f aca="false">F43+G43-H43</f>
        <v>0</v>
      </c>
    </row>
    <row r="44" customFormat="false" ht="15" hidden="false" customHeight="false" outlineLevel="0" collapsed="false">
      <c r="A44" s="26" t="n">
        <f aca="false">A43+1</f>
        <v>46311</v>
      </c>
      <c r="B44" s="18" t="n">
        <f aca="false">SUMIFS('Thu Chi'!$D$5:$D$504,'Thu Chi'!$A$5:$A$504,$A44)</f>
        <v>0</v>
      </c>
      <c r="C44" s="18" t="n">
        <f aca="false">SUMIFS('Thu Chi'!$E$5:$E$504,'Thu Chi'!$A$5:$A$504,$A44)</f>
        <v>0</v>
      </c>
      <c r="D44" s="18" t="n">
        <f aca="false">B44-C44</f>
        <v>0</v>
      </c>
      <c r="E44" s="18" t="n">
        <f aca="false">$B$5+SUM($D$29:D44)</f>
        <v>236006</v>
      </c>
      <c r="F44" s="18" t="n">
        <f aca="false">SUMIFS('Giao dịch TK'!$D$5:$D$504,'Giao dịch TK'!$A$5:$A$504,$A44)</f>
        <v>0</v>
      </c>
      <c r="G44" s="18" t="n">
        <f aca="false">SUMIFS('Giao dịch TK'!$E$5:$E$504,'Giao dịch TK'!$A$5:$A$504,$A44)</f>
        <v>0</v>
      </c>
      <c r="H44" s="18" t="n">
        <f aca="false">SUMIFS('Giao dịch TK'!$F$5:$F$504,'Giao dịch TK'!$A$5:$A$504,$A44)</f>
        <v>0</v>
      </c>
      <c r="I44" s="18" t="n">
        <f aca="false">F44+G44-H44</f>
        <v>0</v>
      </c>
    </row>
    <row r="45" customFormat="false" ht="15" hidden="false" customHeight="false" outlineLevel="0" collapsed="false">
      <c r="A45" s="26" t="n">
        <f aca="false">A44+1</f>
        <v>46312</v>
      </c>
      <c r="B45" s="18" t="n">
        <f aca="false">SUMIFS('Thu Chi'!$D$5:$D$504,'Thu Chi'!$A$5:$A$504,$A45)</f>
        <v>0</v>
      </c>
      <c r="C45" s="18" t="n">
        <f aca="false">SUMIFS('Thu Chi'!$E$5:$E$504,'Thu Chi'!$A$5:$A$504,$A45)</f>
        <v>0</v>
      </c>
      <c r="D45" s="18" t="n">
        <f aca="false">B45-C45</f>
        <v>0</v>
      </c>
      <c r="E45" s="18" t="n">
        <f aca="false">$B$5+SUM($D$29:D45)</f>
        <v>236006</v>
      </c>
      <c r="F45" s="18" t="n">
        <f aca="false">SUMIFS('Giao dịch TK'!$D$5:$D$504,'Giao dịch TK'!$A$5:$A$504,$A45)</f>
        <v>0</v>
      </c>
      <c r="G45" s="18" t="n">
        <f aca="false">SUMIFS('Giao dịch TK'!$E$5:$E$504,'Giao dịch TK'!$A$5:$A$504,$A45)</f>
        <v>0</v>
      </c>
      <c r="H45" s="18" t="n">
        <f aca="false">SUMIFS('Giao dịch TK'!$F$5:$F$504,'Giao dịch TK'!$A$5:$A$504,$A45)</f>
        <v>0</v>
      </c>
      <c r="I45" s="18" t="n">
        <f aca="false">F45+G45-H45</f>
        <v>0</v>
      </c>
    </row>
    <row r="46" customFormat="false" ht="15" hidden="false" customHeight="false" outlineLevel="0" collapsed="false">
      <c r="A46" s="26" t="n">
        <f aca="false">A45+1</f>
        <v>46313</v>
      </c>
      <c r="B46" s="18" t="n">
        <f aca="false">SUMIFS('Thu Chi'!$D$5:$D$504,'Thu Chi'!$A$5:$A$504,$A46)</f>
        <v>0</v>
      </c>
      <c r="C46" s="18" t="n">
        <f aca="false">SUMIFS('Thu Chi'!$E$5:$E$504,'Thu Chi'!$A$5:$A$504,$A46)</f>
        <v>0</v>
      </c>
      <c r="D46" s="18" t="n">
        <f aca="false">B46-C46</f>
        <v>0</v>
      </c>
      <c r="E46" s="18" t="n">
        <f aca="false">$B$5+SUM($D$29:D46)</f>
        <v>236006</v>
      </c>
      <c r="F46" s="18" t="n">
        <f aca="false">SUMIFS('Giao dịch TK'!$D$5:$D$504,'Giao dịch TK'!$A$5:$A$504,$A46)</f>
        <v>0</v>
      </c>
      <c r="G46" s="18" t="n">
        <f aca="false">SUMIFS('Giao dịch TK'!$E$5:$E$504,'Giao dịch TK'!$A$5:$A$504,$A46)</f>
        <v>0</v>
      </c>
      <c r="H46" s="18" t="n">
        <f aca="false">SUMIFS('Giao dịch TK'!$F$5:$F$504,'Giao dịch TK'!$A$5:$A$504,$A46)</f>
        <v>0</v>
      </c>
      <c r="I46" s="18" t="n">
        <f aca="false">F46+G46-H46</f>
        <v>0</v>
      </c>
    </row>
    <row r="47" customFormat="false" ht="15" hidden="false" customHeight="false" outlineLevel="0" collapsed="false">
      <c r="A47" s="26" t="n">
        <f aca="false">A46+1</f>
        <v>46314</v>
      </c>
      <c r="B47" s="18" t="n">
        <f aca="false">SUMIFS('Thu Chi'!$D$5:$D$504,'Thu Chi'!$A$5:$A$504,$A47)</f>
        <v>0</v>
      </c>
      <c r="C47" s="18" t="n">
        <f aca="false">SUMIFS('Thu Chi'!$E$5:$E$504,'Thu Chi'!$A$5:$A$504,$A47)</f>
        <v>0</v>
      </c>
      <c r="D47" s="18" t="n">
        <f aca="false">B47-C47</f>
        <v>0</v>
      </c>
      <c r="E47" s="18" t="n">
        <f aca="false">$B$5+SUM($D$29:D47)</f>
        <v>236006</v>
      </c>
      <c r="F47" s="18" t="n">
        <f aca="false">SUMIFS('Giao dịch TK'!$D$5:$D$504,'Giao dịch TK'!$A$5:$A$504,$A47)</f>
        <v>0</v>
      </c>
      <c r="G47" s="18" t="n">
        <f aca="false">SUMIFS('Giao dịch TK'!$E$5:$E$504,'Giao dịch TK'!$A$5:$A$504,$A47)</f>
        <v>0</v>
      </c>
      <c r="H47" s="18" t="n">
        <f aca="false">SUMIFS('Giao dịch TK'!$F$5:$F$504,'Giao dịch TK'!$A$5:$A$504,$A47)</f>
        <v>0</v>
      </c>
      <c r="I47" s="18" t="n">
        <f aca="false">F47+G47-H47</f>
        <v>0</v>
      </c>
    </row>
    <row r="48" customFormat="false" ht="15" hidden="false" customHeight="false" outlineLevel="0" collapsed="false">
      <c r="A48" s="26" t="n">
        <f aca="false">A47+1</f>
        <v>46315</v>
      </c>
      <c r="B48" s="18" t="n">
        <f aca="false">SUMIFS('Thu Chi'!$D$5:$D$504,'Thu Chi'!$A$5:$A$504,$A48)</f>
        <v>0</v>
      </c>
      <c r="C48" s="18" t="n">
        <f aca="false">SUMIFS('Thu Chi'!$E$5:$E$504,'Thu Chi'!$A$5:$A$504,$A48)</f>
        <v>0</v>
      </c>
      <c r="D48" s="18" t="n">
        <f aca="false">B48-C48</f>
        <v>0</v>
      </c>
      <c r="E48" s="18" t="n">
        <f aca="false">$B$5+SUM($D$29:D48)</f>
        <v>236006</v>
      </c>
      <c r="F48" s="18" t="n">
        <f aca="false">SUMIFS('Giao dịch TK'!$D$5:$D$504,'Giao dịch TK'!$A$5:$A$504,$A48)</f>
        <v>0</v>
      </c>
      <c r="G48" s="18" t="n">
        <f aca="false">SUMIFS('Giao dịch TK'!$E$5:$E$504,'Giao dịch TK'!$A$5:$A$504,$A48)</f>
        <v>0</v>
      </c>
      <c r="H48" s="18" t="n">
        <f aca="false">SUMIFS('Giao dịch TK'!$F$5:$F$504,'Giao dịch TK'!$A$5:$A$504,$A48)</f>
        <v>0</v>
      </c>
      <c r="I48" s="18" t="n">
        <f aca="false">F48+G48-H48</f>
        <v>0</v>
      </c>
    </row>
    <row r="49" customFormat="false" ht="15" hidden="false" customHeight="false" outlineLevel="0" collapsed="false">
      <c r="A49" s="26" t="n">
        <f aca="false">A48+1</f>
        <v>46316</v>
      </c>
      <c r="B49" s="18" t="n">
        <f aca="false">SUMIFS('Thu Chi'!$D$5:$D$504,'Thu Chi'!$A$5:$A$504,$A49)</f>
        <v>0</v>
      </c>
      <c r="C49" s="18" t="n">
        <f aca="false">SUMIFS('Thu Chi'!$E$5:$E$504,'Thu Chi'!$A$5:$A$504,$A49)</f>
        <v>0</v>
      </c>
      <c r="D49" s="18" t="n">
        <f aca="false">B49-C49</f>
        <v>0</v>
      </c>
      <c r="E49" s="18" t="n">
        <f aca="false">$B$5+SUM($D$29:D49)</f>
        <v>236006</v>
      </c>
      <c r="F49" s="18" t="n">
        <f aca="false">SUMIFS('Giao dịch TK'!$D$5:$D$504,'Giao dịch TK'!$A$5:$A$504,$A49)</f>
        <v>0</v>
      </c>
      <c r="G49" s="18" t="n">
        <f aca="false">SUMIFS('Giao dịch TK'!$E$5:$E$504,'Giao dịch TK'!$A$5:$A$504,$A49)</f>
        <v>0</v>
      </c>
      <c r="H49" s="18" t="n">
        <f aca="false">SUMIFS('Giao dịch TK'!$F$5:$F$504,'Giao dịch TK'!$A$5:$A$504,$A49)</f>
        <v>0</v>
      </c>
      <c r="I49" s="18" t="n">
        <f aca="false">F49+G49-H49</f>
        <v>0</v>
      </c>
    </row>
    <row r="50" customFormat="false" ht="15" hidden="false" customHeight="false" outlineLevel="0" collapsed="false">
      <c r="A50" s="26" t="n">
        <f aca="false">A49+1</f>
        <v>46317</v>
      </c>
      <c r="B50" s="18" t="n">
        <f aca="false">SUMIFS('Thu Chi'!$D$5:$D$504,'Thu Chi'!$A$5:$A$504,$A50)</f>
        <v>0</v>
      </c>
      <c r="C50" s="18" t="n">
        <f aca="false">SUMIFS('Thu Chi'!$E$5:$E$504,'Thu Chi'!$A$5:$A$504,$A50)</f>
        <v>0</v>
      </c>
      <c r="D50" s="18" t="n">
        <f aca="false">B50-C50</f>
        <v>0</v>
      </c>
      <c r="E50" s="18" t="n">
        <f aca="false">$B$5+SUM($D$29:D50)</f>
        <v>236006</v>
      </c>
      <c r="F50" s="18" t="n">
        <f aca="false">SUMIFS('Giao dịch TK'!$D$5:$D$504,'Giao dịch TK'!$A$5:$A$504,$A50)</f>
        <v>0</v>
      </c>
      <c r="G50" s="18" t="n">
        <f aca="false">SUMIFS('Giao dịch TK'!$E$5:$E$504,'Giao dịch TK'!$A$5:$A$504,$A50)</f>
        <v>0</v>
      </c>
      <c r="H50" s="18" t="n">
        <f aca="false">SUMIFS('Giao dịch TK'!$F$5:$F$504,'Giao dịch TK'!$A$5:$A$504,$A50)</f>
        <v>0</v>
      </c>
      <c r="I50" s="18" t="n">
        <f aca="false">F50+G50-H50</f>
        <v>0</v>
      </c>
    </row>
    <row r="51" customFormat="false" ht="15" hidden="false" customHeight="false" outlineLevel="0" collapsed="false">
      <c r="A51" s="26" t="n">
        <f aca="false">A50+1</f>
        <v>46318</v>
      </c>
      <c r="B51" s="18" t="n">
        <f aca="false">SUMIFS('Thu Chi'!$D$5:$D$504,'Thu Chi'!$A$5:$A$504,$A51)</f>
        <v>0</v>
      </c>
      <c r="C51" s="18" t="n">
        <f aca="false">SUMIFS('Thu Chi'!$E$5:$E$504,'Thu Chi'!$A$5:$A$504,$A51)</f>
        <v>0</v>
      </c>
      <c r="D51" s="18" t="n">
        <f aca="false">B51-C51</f>
        <v>0</v>
      </c>
      <c r="E51" s="18" t="n">
        <f aca="false">$B$5+SUM($D$29:D51)</f>
        <v>236006</v>
      </c>
      <c r="F51" s="18" t="n">
        <f aca="false">SUMIFS('Giao dịch TK'!$D$5:$D$504,'Giao dịch TK'!$A$5:$A$504,$A51)</f>
        <v>0</v>
      </c>
      <c r="G51" s="18" t="n">
        <f aca="false">SUMIFS('Giao dịch TK'!$E$5:$E$504,'Giao dịch TK'!$A$5:$A$504,$A51)</f>
        <v>0</v>
      </c>
      <c r="H51" s="18" t="n">
        <f aca="false">SUMIFS('Giao dịch TK'!$F$5:$F$504,'Giao dịch TK'!$A$5:$A$504,$A51)</f>
        <v>0</v>
      </c>
      <c r="I51" s="18" t="n">
        <f aca="false">F51+G51-H51</f>
        <v>0</v>
      </c>
    </row>
    <row r="52" customFormat="false" ht="15" hidden="false" customHeight="false" outlineLevel="0" collapsed="false">
      <c r="A52" s="26" t="n">
        <f aca="false">A51+1</f>
        <v>46319</v>
      </c>
      <c r="B52" s="18" t="n">
        <f aca="false">SUMIFS('Thu Chi'!$D$5:$D$504,'Thu Chi'!$A$5:$A$504,$A52)</f>
        <v>0</v>
      </c>
      <c r="C52" s="18" t="n">
        <f aca="false">SUMIFS('Thu Chi'!$E$5:$E$504,'Thu Chi'!$A$5:$A$504,$A52)</f>
        <v>0</v>
      </c>
      <c r="D52" s="18" t="n">
        <f aca="false">B52-C52</f>
        <v>0</v>
      </c>
      <c r="E52" s="18" t="n">
        <f aca="false">$B$5+SUM($D$29:D52)</f>
        <v>236006</v>
      </c>
      <c r="F52" s="18" t="n">
        <f aca="false">SUMIFS('Giao dịch TK'!$D$5:$D$504,'Giao dịch TK'!$A$5:$A$504,$A52)</f>
        <v>0</v>
      </c>
      <c r="G52" s="18" t="n">
        <f aca="false">SUMIFS('Giao dịch TK'!$E$5:$E$504,'Giao dịch TK'!$A$5:$A$504,$A52)</f>
        <v>0</v>
      </c>
      <c r="H52" s="18" t="n">
        <f aca="false">SUMIFS('Giao dịch TK'!$F$5:$F$504,'Giao dịch TK'!$A$5:$A$504,$A52)</f>
        <v>0</v>
      </c>
      <c r="I52" s="18" t="n">
        <f aca="false">F52+G52-H52</f>
        <v>0</v>
      </c>
    </row>
    <row r="53" customFormat="false" ht="15" hidden="false" customHeight="false" outlineLevel="0" collapsed="false">
      <c r="A53" s="26" t="n">
        <f aca="false">A52+1</f>
        <v>46320</v>
      </c>
      <c r="B53" s="18" t="n">
        <f aca="false">SUMIFS('Thu Chi'!$D$5:$D$504,'Thu Chi'!$A$5:$A$504,$A53)</f>
        <v>0</v>
      </c>
      <c r="C53" s="18" t="n">
        <f aca="false">SUMIFS('Thu Chi'!$E$5:$E$504,'Thu Chi'!$A$5:$A$504,$A53)</f>
        <v>0</v>
      </c>
      <c r="D53" s="18" t="n">
        <f aca="false">B53-C53</f>
        <v>0</v>
      </c>
      <c r="E53" s="18" t="n">
        <f aca="false">$B$5+SUM($D$29:D53)</f>
        <v>236006</v>
      </c>
      <c r="F53" s="18" t="n">
        <f aca="false">SUMIFS('Giao dịch TK'!$D$5:$D$504,'Giao dịch TK'!$A$5:$A$504,$A53)</f>
        <v>0</v>
      </c>
      <c r="G53" s="18" t="n">
        <f aca="false">SUMIFS('Giao dịch TK'!$E$5:$E$504,'Giao dịch TK'!$A$5:$A$504,$A53)</f>
        <v>0</v>
      </c>
      <c r="H53" s="18" t="n">
        <f aca="false">SUMIFS('Giao dịch TK'!$F$5:$F$504,'Giao dịch TK'!$A$5:$A$504,$A53)</f>
        <v>0</v>
      </c>
      <c r="I53" s="18" t="n">
        <f aca="false">F53+G53-H53</f>
        <v>0</v>
      </c>
    </row>
    <row r="54" customFormat="false" ht="15" hidden="false" customHeight="false" outlineLevel="0" collapsed="false">
      <c r="A54" s="26" t="n">
        <f aca="false">A53+1</f>
        <v>46321</v>
      </c>
      <c r="B54" s="18" t="n">
        <f aca="false">SUMIFS('Thu Chi'!$D$5:$D$504,'Thu Chi'!$A$5:$A$504,$A54)</f>
        <v>0</v>
      </c>
      <c r="C54" s="18" t="n">
        <f aca="false">SUMIFS('Thu Chi'!$E$5:$E$504,'Thu Chi'!$A$5:$A$504,$A54)</f>
        <v>0</v>
      </c>
      <c r="D54" s="18" t="n">
        <f aca="false">B54-C54</f>
        <v>0</v>
      </c>
      <c r="E54" s="18" t="n">
        <f aca="false">$B$5+SUM($D$29:D54)</f>
        <v>236006</v>
      </c>
      <c r="F54" s="18" t="n">
        <f aca="false">SUMIFS('Giao dịch TK'!$D$5:$D$504,'Giao dịch TK'!$A$5:$A$504,$A54)</f>
        <v>0</v>
      </c>
      <c r="G54" s="18" t="n">
        <f aca="false">SUMIFS('Giao dịch TK'!$E$5:$E$504,'Giao dịch TK'!$A$5:$A$504,$A54)</f>
        <v>0</v>
      </c>
      <c r="H54" s="18" t="n">
        <f aca="false">SUMIFS('Giao dịch TK'!$F$5:$F$504,'Giao dịch TK'!$A$5:$A$504,$A54)</f>
        <v>0</v>
      </c>
      <c r="I54" s="18" t="n">
        <f aca="false">F54+G54-H54</f>
        <v>0</v>
      </c>
    </row>
    <row r="55" customFormat="false" ht="15" hidden="false" customHeight="false" outlineLevel="0" collapsed="false">
      <c r="A55" s="26" t="n">
        <f aca="false">A54+1</f>
        <v>46322</v>
      </c>
      <c r="B55" s="18" t="n">
        <f aca="false">SUMIFS('Thu Chi'!$D$5:$D$504,'Thu Chi'!$A$5:$A$504,$A55)</f>
        <v>0</v>
      </c>
      <c r="C55" s="18" t="n">
        <f aca="false">SUMIFS('Thu Chi'!$E$5:$E$504,'Thu Chi'!$A$5:$A$504,$A55)</f>
        <v>0</v>
      </c>
      <c r="D55" s="18" t="n">
        <f aca="false">B55-C55</f>
        <v>0</v>
      </c>
      <c r="E55" s="18" t="n">
        <f aca="false">$B$5+SUM($D$29:D55)</f>
        <v>236006</v>
      </c>
      <c r="F55" s="18" t="n">
        <f aca="false">SUMIFS('Giao dịch TK'!$D$5:$D$504,'Giao dịch TK'!$A$5:$A$504,$A55)</f>
        <v>0</v>
      </c>
      <c r="G55" s="18" t="n">
        <f aca="false">SUMIFS('Giao dịch TK'!$E$5:$E$504,'Giao dịch TK'!$A$5:$A$504,$A55)</f>
        <v>0</v>
      </c>
      <c r="H55" s="18" t="n">
        <f aca="false">SUMIFS('Giao dịch TK'!$F$5:$F$504,'Giao dịch TK'!$A$5:$A$504,$A55)</f>
        <v>0</v>
      </c>
      <c r="I55" s="18" t="n">
        <f aca="false">F55+G55-H55</f>
        <v>0</v>
      </c>
    </row>
    <row r="56" customFormat="false" ht="15" hidden="false" customHeight="false" outlineLevel="0" collapsed="false">
      <c r="A56" s="26" t="n">
        <f aca="false">A55+1</f>
        <v>46323</v>
      </c>
      <c r="B56" s="18" t="n">
        <f aca="false">SUMIFS('Thu Chi'!$D$5:$D$504,'Thu Chi'!$A$5:$A$504,$A56)</f>
        <v>0</v>
      </c>
      <c r="C56" s="18" t="n">
        <f aca="false">SUMIFS('Thu Chi'!$E$5:$E$504,'Thu Chi'!$A$5:$A$504,$A56)</f>
        <v>0</v>
      </c>
      <c r="D56" s="18" t="n">
        <f aca="false">B56-C56</f>
        <v>0</v>
      </c>
      <c r="E56" s="18" t="n">
        <f aca="false">$B$5+SUM($D$29:D56)</f>
        <v>236006</v>
      </c>
      <c r="F56" s="18" t="n">
        <f aca="false">SUMIFS('Giao dịch TK'!$D$5:$D$504,'Giao dịch TK'!$A$5:$A$504,$A56)</f>
        <v>0</v>
      </c>
      <c r="G56" s="18" t="n">
        <f aca="false">SUMIFS('Giao dịch TK'!$E$5:$E$504,'Giao dịch TK'!$A$5:$A$504,$A56)</f>
        <v>0</v>
      </c>
      <c r="H56" s="18" t="n">
        <f aca="false">SUMIFS('Giao dịch TK'!$F$5:$F$504,'Giao dịch TK'!$A$5:$A$504,$A56)</f>
        <v>0</v>
      </c>
      <c r="I56" s="18" t="n">
        <f aca="false">F56+G56-H56</f>
        <v>0</v>
      </c>
    </row>
    <row r="57" customFormat="false" ht="15" hidden="false" customHeight="false" outlineLevel="0" collapsed="false">
      <c r="A57" s="26" t="n">
        <f aca="false">A56+1</f>
        <v>46324</v>
      </c>
      <c r="B57" s="18" t="n">
        <f aca="false">SUMIFS('Thu Chi'!$D$5:$D$504,'Thu Chi'!$A$5:$A$504,$A57)</f>
        <v>0</v>
      </c>
      <c r="C57" s="18" t="n">
        <f aca="false">SUMIFS('Thu Chi'!$E$5:$E$504,'Thu Chi'!$A$5:$A$504,$A57)</f>
        <v>0</v>
      </c>
      <c r="D57" s="18" t="n">
        <f aca="false">B57-C57</f>
        <v>0</v>
      </c>
      <c r="E57" s="18" t="n">
        <f aca="false">$B$5+SUM($D$29:D57)</f>
        <v>236006</v>
      </c>
      <c r="F57" s="18" t="n">
        <f aca="false">SUMIFS('Giao dịch TK'!$D$5:$D$504,'Giao dịch TK'!$A$5:$A$504,$A57)</f>
        <v>0</v>
      </c>
      <c r="G57" s="18" t="n">
        <f aca="false">SUMIFS('Giao dịch TK'!$E$5:$E$504,'Giao dịch TK'!$A$5:$A$504,$A57)</f>
        <v>0</v>
      </c>
      <c r="H57" s="18" t="n">
        <f aca="false">SUMIFS('Giao dịch TK'!$F$5:$F$504,'Giao dịch TK'!$A$5:$A$504,$A57)</f>
        <v>0</v>
      </c>
      <c r="I57" s="18" t="n">
        <f aca="false">F57+G57-H57</f>
        <v>0</v>
      </c>
    </row>
    <row r="58" customFormat="false" ht="15" hidden="false" customHeight="false" outlineLevel="0" collapsed="false">
      <c r="A58" s="26" t="n">
        <f aca="false">A57+1</f>
        <v>46325</v>
      </c>
      <c r="B58" s="18" t="n">
        <f aca="false">SUMIFS('Thu Chi'!$D$5:$D$504,'Thu Chi'!$A$5:$A$504,$A58)</f>
        <v>0</v>
      </c>
      <c r="C58" s="18" t="n">
        <f aca="false">SUMIFS('Thu Chi'!$E$5:$E$504,'Thu Chi'!$A$5:$A$504,$A58)</f>
        <v>0</v>
      </c>
      <c r="D58" s="18" t="n">
        <f aca="false">B58-C58</f>
        <v>0</v>
      </c>
      <c r="E58" s="18" t="n">
        <f aca="false">$B$5+SUM($D$29:D58)</f>
        <v>236006</v>
      </c>
      <c r="F58" s="18" t="n">
        <f aca="false">SUMIFS('Giao dịch TK'!$D$5:$D$504,'Giao dịch TK'!$A$5:$A$504,$A58)</f>
        <v>0</v>
      </c>
      <c r="G58" s="18" t="n">
        <f aca="false">SUMIFS('Giao dịch TK'!$E$5:$E$504,'Giao dịch TK'!$A$5:$A$504,$A58)</f>
        <v>0</v>
      </c>
      <c r="H58" s="18" t="n">
        <f aca="false">SUMIFS('Giao dịch TK'!$F$5:$F$504,'Giao dịch TK'!$A$5:$A$504,$A58)</f>
        <v>0</v>
      </c>
      <c r="I58" s="18" t="n">
        <f aca="false">F58+G58-H58</f>
        <v>0</v>
      </c>
    </row>
    <row r="59" customFormat="false" ht="15" hidden="false" customHeight="false" outlineLevel="0" collapsed="false">
      <c r="A59" s="26" t="n">
        <f aca="false">A58+1</f>
        <v>46326</v>
      </c>
      <c r="B59" s="18" t="n">
        <f aca="false">SUMIFS('Thu Chi'!$D$5:$D$504,'Thu Chi'!$A$5:$A$504,$A59)</f>
        <v>0</v>
      </c>
      <c r="C59" s="18" t="n">
        <f aca="false">SUMIFS('Thu Chi'!$E$5:$E$504,'Thu Chi'!$A$5:$A$504,$A59)</f>
        <v>0</v>
      </c>
      <c r="D59" s="18" t="n">
        <f aca="false">B59-C59</f>
        <v>0</v>
      </c>
      <c r="E59" s="18" t="n">
        <f aca="false">$B$5+SUM($D$29:D59)</f>
        <v>236006</v>
      </c>
      <c r="F59" s="18" t="n">
        <f aca="false">SUMIFS('Giao dịch TK'!$D$5:$D$504,'Giao dịch TK'!$A$5:$A$504,$A59)</f>
        <v>0</v>
      </c>
      <c r="G59" s="18" t="n">
        <f aca="false">SUMIFS('Giao dịch TK'!$E$5:$E$504,'Giao dịch TK'!$A$5:$A$504,$A59)</f>
        <v>0</v>
      </c>
      <c r="H59" s="18" t="n">
        <f aca="false">SUMIFS('Giao dịch TK'!$F$5:$F$504,'Giao dịch TK'!$A$5:$A$504,$A59)</f>
        <v>0</v>
      </c>
      <c r="I59" s="18" t="n">
        <f aca="false">F59+G59-H59</f>
        <v>0</v>
      </c>
    </row>
    <row r="60" customFormat="false" ht="15" hidden="false" customHeight="false" outlineLevel="0" collapsed="false">
      <c r="A60" s="27" t="s">
        <v>66</v>
      </c>
      <c r="B60" s="28" t="n">
        <f aca="false">SUMIFS('Thu Chi'!$D$5:$D$504,'Thu Chi'!$A$5:$A$504,"",'Thu Chi'!$D$5:$D$504,"&lt;&gt;")</f>
        <v>0</v>
      </c>
      <c r="C60" s="28" t="n">
        <f aca="false">SUMIFS('Thu Chi'!$E$5:$E$504,'Thu Chi'!$A$5:$A$504,"",'Thu Chi'!$E$5:$E$504,"&lt;&gt;")</f>
        <v>0</v>
      </c>
      <c r="D60" s="28" t="n">
        <f aca="false">B60-C60</f>
        <v>0</v>
      </c>
      <c r="E60" s="28"/>
      <c r="F60" s="28" t="n">
        <f aca="false">SUMIFS('Giao dịch TK'!$D$5:$D$504,'Giao dịch TK'!$A$5:$A$504,"",'Giao dịch TK'!$B$5:$B$504,"&lt;&gt;")</f>
        <v>4000</v>
      </c>
      <c r="G60" s="28" t="n">
        <f aca="false">SUMIFS('Giao dịch TK'!$E$5:$E$504,'Giao dịch TK'!$A$5:$A$504,"",'Giao dịch TK'!$B$5:$B$504,"&lt;&gt;")</f>
        <v>0</v>
      </c>
      <c r="H60" s="28" t="n">
        <f aca="false">SUMIFS('Giao dịch TK'!$F$5:$F$504,'Giao dịch TK'!$A$5:$A$504,"",'Giao dịch TK'!$B$5:$B$504,"&lt;&gt;")</f>
        <v>0</v>
      </c>
      <c r="I60" s="28" t="n">
        <f aca="false">F60+G60-H60</f>
        <v>4000</v>
      </c>
    </row>
    <row r="61" customFormat="false" ht="15" hidden="false" customHeight="false" outlineLevel="0" collapsed="false">
      <c r="A61" s="20" t="s">
        <v>67</v>
      </c>
      <c r="B61" s="22" t="n">
        <f aca="false">SUM(B29:B60)</f>
        <v>349200</v>
      </c>
      <c r="C61" s="22" t="n">
        <f aca="false">SUM(C29:C60)</f>
        <v>113194</v>
      </c>
      <c r="D61" s="22" t="n">
        <f aca="false">SUM(D29:D60)</f>
        <v>236006</v>
      </c>
      <c r="E61" s="22" t="n">
        <f aca="false">B5+D61</f>
        <v>236006</v>
      </c>
      <c r="F61" s="22" t="n">
        <f aca="false">SUM(F29:F60)</f>
        <v>72390</v>
      </c>
      <c r="G61" s="22" t="n">
        <f aca="false">SUM(G29:G60)</f>
        <v>84390</v>
      </c>
      <c r="H61" s="22" t="n">
        <f aca="false">SUM(H29:H60)</f>
        <v>4840</v>
      </c>
      <c r="I61" s="22" t="n">
        <f aca="false">SUM(I29:I60)</f>
        <v>151940</v>
      </c>
    </row>
  </sheetData>
  <conditionalFormatting sqref="A29:I59">
    <cfRule type="expression" priority="2" aboveAverage="0" equalAverage="0" bottom="0" percent="0" rank="0" text="" dxfId="0">
      <formula>AND($B29=0,$C29=0,$F29=0,$G29=0,$H29=0)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5" min="5" style="0" width="22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68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69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16" t="s">
        <v>49</v>
      </c>
      <c r="B4" s="16" t="s">
        <v>70</v>
      </c>
      <c r="C4" s="16" t="s">
        <v>71</v>
      </c>
      <c r="D4" s="2"/>
      <c r="E4" s="2"/>
      <c r="F4" s="2"/>
    </row>
    <row r="5" customFormat="false" ht="15" hidden="false" customHeight="false" outlineLevel="0" collapsed="false">
      <c r="A5" s="29" t="s">
        <v>72</v>
      </c>
      <c r="B5" s="29" t="s">
        <v>73</v>
      </c>
      <c r="C5" s="29" t="s">
        <v>74</v>
      </c>
      <c r="D5" s="2"/>
      <c r="E5" s="6" t="s">
        <v>75</v>
      </c>
      <c r="F5" s="30" t="n">
        <v>0</v>
      </c>
    </row>
    <row r="6" customFormat="false" ht="15" hidden="false" customHeight="false" outlineLevel="0" collapsed="false">
      <c r="A6" s="29" t="s">
        <v>76</v>
      </c>
      <c r="B6" s="29" t="s">
        <v>77</v>
      </c>
      <c r="C6" s="29" t="s">
        <v>78</v>
      </c>
      <c r="D6" s="2"/>
      <c r="E6" s="2"/>
      <c r="F6" s="2"/>
    </row>
    <row r="7" customFormat="false" ht="15" hidden="false" customHeight="false" outlineLevel="0" collapsed="false">
      <c r="A7" s="29" t="s">
        <v>74</v>
      </c>
      <c r="B7" s="29" t="s">
        <v>79</v>
      </c>
      <c r="C7" s="29" t="s">
        <v>76</v>
      </c>
      <c r="D7" s="2"/>
      <c r="E7" s="2"/>
      <c r="F7" s="2"/>
    </row>
    <row r="8" customFormat="false" ht="15" hidden="false" customHeight="false" outlineLevel="0" collapsed="false">
      <c r="A8" s="29" t="s">
        <v>80</v>
      </c>
      <c r="B8" s="29" t="s">
        <v>81</v>
      </c>
      <c r="C8" s="29" t="s">
        <v>82</v>
      </c>
      <c r="D8" s="2"/>
      <c r="E8" s="2"/>
      <c r="F8" s="2"/>
    </row>
    <row r="9" customFormat="false" ht="15" hidden="false" customHeight="false" outlineLevel="0" collapsed="false">
      <c r="A9" s="29" t="s">
        <v>83</v>
      </c>
      <c r="B9" s="29" t="s">
        <v>84</v>
      </c>
      <c r="C9" s="29" t="s">
        <v>85</v>
      </c>
      <c r="D9" s="2"/>
      <c r="E9" s="2"/>
      <c r="F9" s="2"/>
    </row>
    <row r="10" customFormat="false" ht="15" hidden="false" customHeight="false" outlineLevel="0" collapsed="false">
      <c r="A10" s="29" t="s">
        <v>86</v>
      </c>
      <c r="B10" s="29" t="s">
        <v>87</v>
      </c>
      <c r="C10" s="29" t="s">
        <v>88</v>
      </c>
      <c r="D10" s="2"/>
      <c r="E10" s="2"/>
      <c r="F10" s="2"/>
    </row>
    <row r="11" customFormat="false" ht="15" hidden="false" customHeight="false" outlineLevel="0" collapsed="false">
      <c r="A11" s="2"/>
      <c r="B11" s="29" t="s">
        <v>89</v>
      </c>
      <c r="C11" s="29" t="s">
        <v>90</v>
      </c>
      <c r="D11" s="2"/>
      <c r="E11" s="2"/>
      <c r="F11" s="2"/>
    </row>
    <row r="12" customFormat="false" ht="15" hidden="false" customHeight="false" outlineLevel="0" collapsed="false">
      <c r="A12" s="2"/>
      <c r="B12" s="2"/>
      <c r="C12" s="29" t="s">
        <v>91</v>
      </c>
      <c r="D12" s="2"/>
      <c r="E12" s="2"/>
      <c r="F1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5" min="4" style="0" width="13"/>
    <col collapsed="false" customWidth="true" hidden="false" outlineLevel="0" max="8" min="6" style="0" width="14"/>
    <col collapsed="false" customWidth="true" hidden="false" outlineLevel="0" max="9" min="9" style="0" width="26"/>
    <col collapsed="false" customWidth="true" hidden="false" outlineLevel="0" max="10" min="10" style="0" width="22"/>
    <col collapsed="false" customWidth="true" hidden="false" outlineLevel="0" max="11" min="11" style="0" width="42"/>
  </cols>
  <sheetData>
    <row r="1" customFormat="false" ht="17.35" hidden="false" customHeight="false" outlineLevel="0" collapsed="false">
      <c r="A1" s="1" t="s">
        <v>92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93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26.85" hidden="false" customHeight="false" outlineLevel="0" collapsed="false">
      <c r="A4" s="31" t="s">
        <v>59</v>
      </c>
      <c r="B4" s="31" t="s">
        <v>71</v>
      </c>
      <c r="C4" s="31" t="s">
        <v>40</v>
      </c>
      <c r="D4" s="31" t="s">
        <v>41</v>
      </c>
      <c r="E4" s="31" t="s">
        <v>42</v>
      </c>
      <c r="F4" s="31" t="s">
        <v>94</v>
      </c>
      <c r="G4" s="31" t="s">
        <v>95</v>
      </c>
      <c r="H4" s="31" t="s">
        <v>96</v>
      </c>
      <c r="I4" s="31" t="s">
        <v>97</v>
      </c>
      <c r="J4" s="31" t="s">
        <v>98</v>
      </c>
      <c r="K4" s="31" t="s">
        <v>99</v>
      </c>
    </row>
    <row r="5" customFormat="false" ht="15" hidden="false" customHeight="false" outlineLevel="0" collapsed="false">
      <c r="A5" s="32" t="n">
        <v>46296</v>
      </c>
      <c r="B5" s="29" t="s">
        <v>76</v>
      </c>
      <c r="C5" s="29" t="s">
        <v>79</v>
      </c>
      <c r="D5" s="25"/>
      <c r="E5" s="25" t="n">
        <v>4600</v>
      </c>
      <c r="F5" s="18" t="n">
        <f aca="false">IF(AND(D5="",E5=""),"",'Danh mục'!$F$5+SUM($D$5:D5)-SUM($E$5:E5))</f>
        <v>-4600</v>
      </c>
      <c r="G5" s="33" t="n">
        <f aca="false">SUMIFS($D$5:$D$504,$A$5:$A$504,A5)</f>
        <v>0</v>
      </c>
      <c r="H5" s="33" t="n">
        <f aca="false">SUMIFS($E$5:$E$504,$A$5:$A$504,A5)</f>
        <v>14950</v>
      </c>
      <c r="I5" s="29" t="s">
        <v>100</v>
      </c>
      <c r="J5" s="34" t="s">
        <v>101</v>
      </c>
      <c r="K5" s="35"/>
    </row>
    <row r="6" customFormat="false" ht="15" hidden="false" customHeight="false" outlineLevel="0" collapsed="false">
      <c r="A6" s="32" t="n">
        <v>46296</v>
      </c>
      <c r="B6" s="29" t="s">
        <v>76</v>
      </c>
      <c r="C6" s="29" t="s">
        <v>79</v>
      </c>
      <c r="D6" s="25"/>
      <c r="E6" s="25" t="n">
        <v>2100</v>
      </c>
      <c r="F6" s="18" t="n">
        <f aca="false">IF(AND(D6="",E6=""),"",'Danh mục'!$F$5+SUM($D$5:D6)-SUM($E$5:E6))</f>
        <v>-6700</v>
      </c>
      <c r="G6" s="33"/>
      <c r="H6" s="33"/>
      <c r="I6" s="29" t="s">
        <v>102</v>
      </c>
      <c r="J6" s="34" t="s">
        <v>103</v>
      </c>
      <c r="K6" s="35"/>
    </row>
    <row r="7" customFormat="false" ht="15" hidden="false" customHeight="false" outlineLevel="0" collapsed="false">
      <c r="A7" s="32" t="n">
        <v>46296</v>
      </c>
      <c r="B7" s="29" t="s">
        <v>76</v>
      </c>
      <c r="C7" s="29" t="s">
        <v>79</v>
      </c>
      <c r="D7" s="25"/>
      <c r="E7" s="25" t="n">
        <v>5400</v>
      </c>
      <c r="F7" s="18" t="n">
        <f aca="false">IF(AND(D7="",E7=""),"",'Danh mục'!$F$5+SUM($D$5:D7)-SUM($E$5:E7))</f>
        <v>-12100</v>
      </c>
      <c r="G7" s="33"/>
      <c r="H7" s="33"/>
      <c r="I7" s="29" t="s">
        <v>104</v>
      </c>
      <c r="J7" s="34" t="s">
        <v>105</v>
      </c>
      <c r="K7" s="35"/>
    </row>
    <row r="8" customFormat="false" ht="15" hidden="false" customHeight="false" outlineLevel="0" collapsed="false">
      <c r="A8" s="32" t="n">
        <v>46296</v>
      </c>
      <c r="B8" s="29" t="s">
        <v>76</v>
      </c>
      <c r="C8" s="29" t="s">
        <v>79</v>
      </c>
      <c r="D8" s="25"/>
      <c r="E8" s="25" t="n">
        <v>400</v>
      </c>
      <c r="F8" s="18" t="n">
        <f aca="false">IF(AND(D8="",E8=""),"",'Danh mục'!$F$5+SUM($D$5:D8)-SUM($E$5:E8))</f>
        <v>-12500</v>
      </c>
      <c r="G8" s="33"/>
      <c r="H8" s="33"/>
      <c r="I8" s="29" t="s">
        <v>102</v>
      </c>
      <c r="J8" s="34" t="s">
        <v>106</v>
      </c>
      <c r="K8" s="35"/>
    </row>
    <row r="9" customFormat="false" ht="15" hidden="false" customHeight="false" outlineLevel="0" collapsed="false">
      <c r="A9" s="32" t="n">
        <v>46296</v>
      </c>
      <c r="B9" s="29" t="s">
        <v>82</v>
      </c>
      <c r="C9" s="29" t="s">
        <v>79</v>
      </c>
      <c r="D9" s="25"/>
      <c r="E9" s="25" t="n">
        <v>350</v>
      </c>
      <c r="F9" s="18" t="n">
        <f aca="false">IF(AND(D9="",E9=""),"",'Danh mục'!$F$5+SUM($D$5:D9)-SUM($E$5:E9))</f>
        <v>-12850</v>
      </c>
      <c r="G9" s="33"/>
      <c r="H9" s="33"/>
      <c r="I9" s="29" t="s">
        <v>107</v>
      </c>
      <c r="J9" s="34" t="s">
        <v>108</v>
      </c>
      <c r="K9" s="35"/>
    </row>
    <row r="10" customFormat="false" ht="15" hidden="false" customHeight="false" outlineLevel="0" collapsed="false">
      <c r="A10" s="32" t="n">
        <v>46296</v>
      </c>
      <c r="B10" s="29" t="s">
        <v>85</v>
      </c>
      <c r="C10" s="29" t="s">
        <v>79</v>
      </c>
      <c r="D10" s="25"/>
      <c r="E10" s="25" t="n">
        <v>2100</v>
      </c>
      <c r="F10" s="18" t="n">
        <f aca="false">IF(AND(D10="",E10=""),"",'Danh mục'!$F$5+SUM($D$5:D10)-SUM($E$5:E10))</f>
        <v>-14950</v>
      </c>
      <c r="G10" s="33"/>
      <c r="H10" s="33"/>
      <c r="I10" s="29"/>
      <c r="J10" s="34" t="s">
        <v>109</v>
      </c>
      <c r="K10" s="35" t="s">
        <v>110</v>
      </c>
    </row>
    <row r="11" customFormat="false" ht="15" hidden="false" customHeight="false" outlineLevel="0" collapsed="false">
      <c r="A11" s="36" t="n">
        <v>46297</v>
      </c>
      <c r="B11" s="37" t="s">
        <v>74</v>
      </c>
      <c r="C11" s="37" t="s">
        <v>73</v>
      </c>
      <c r="D11" s="38" t="n">
        <v>9200</v>
      </c>
      <c r="E11" s="38"/>
      <c r="F11" s="39" t="n">
        <f aca="false">IF(AND(D11="",E11=""),"",'Danh mục'!$F$5+SUM($D$5:D11)-SUM($E$5:E11))</f>
        <v>-5750</v>
      </c>
      <c r="G11" s="40" t="n">
        <f aca="false">SUMIFS($D$5:$D$504,$A$5:$A$504,A11)</f>
        <v>9200</v>
      </c>
      <c r="H11" s="40" t="n">
        <f aca="false">SUMIFS($E$5:$E$504,$A$5:$A$504,A11)</f>
        <v>24917</v>
      </c>
      <c r="I11" s="37"/>
      <c r="J11" s="41" t="s">
        <v>111</v>
      </c>
      <c r="K11" s="42"/>
    </row>
    <row r="12" customFormat="false" ht="15" hidden="false" customHeight="false" outlineLevel="0" collapsed="false">
      <c r="A12" s="32" t="n">
        <v>46297</v>
      </c>
      <c r="B12" s="29" t="s">
        <v>74</v>
      </c>
      <c r="C12" s="29" t="s">
        <v>81</v>
      </c>
      <c r="D12" s="25"/>
      <c r="E12" s="25" t="n">
        <v>6417</v>
      </c>
      <c r="F12" s="18" t="n">
        <f aca="false">IF(AND(D12="",E12=""),"",'Danh mục'!$F$5+SUM($D$5:D12)-SUM($E$5:E12))</f>
        <v>-12167</v>
      </c>
      <c r="G12" s="40"/>
      <c r="H12" s="40"/>
      <c r="I12" s="29" t="s">
        <v>112</v>
      </c>
      <c r="J12" s="34" t="s">
        <v>113</v>
      </c>
      <c r="K12" s="35"/>
    </row>
    <row r="13" customFormat="false" ht="15" hidden="false" customHeight="false" outlineLevel="0" collapsed="false">
      <c r="A13" s="32" t="n">
        <v>46297</v>
      </c>
      <c r="B13" s="29" t="s">
        <v>74</v>
      </c>
      <c r="C13" s="29" t="s">
        <v>79</v>
      </c>
      <c r="D13" s="25"/>
      <c r="E13" s="25" t="n">
        <v>2300</v>
      </c>
      <c r="F13" s="18" t="n">
        <f aca="false">IF(AND(D13="",E13=""),"",'Danh mục'!$F$5+SUM($D$5:D13)-SUM($E$5:E13))</f>
        <v>-14467</v>
      </c>
      <c r="G13" s="40"/>
      <c r="H13" s="40"/>
      <c r="I13" s="29" t="s">
        <v>114</v>
      </c>
      <c r="J13" s="34" t="s">
        <v>115</v>
      </c>
      <c r="K13" s="35" t="s">
        <v>116</v>
      </c>
    </row>
    <row r="14" customFormat="false" ht="15" hidden="false" customHeight="false" outlineLevel="0" collapsed="false">
      <c r="A14" s="32" t="n">
        <v>46297</v>
      </c>
      <c r="B14" s="29" t="s">
        <v>82</v>
      </c>
      <c r="C14" s="29" t="s">
        <v>79</v>
      </c>
      <c r="D14" s="25"/>
      <c r="E14" s="25" t="n">
        <v>1000</v>
      </c>
      <c r="F14" s="18" t="n">
        <f aca="false">IF(AND(D14="",E14=""),"",'Danh mục'!$F$5+SUM($D$5:D14)-SUM($E$5:E14))</f>
        <v>-15467</v>
      </c>
      <c r="G14" s="40"/>
      <c r="H14" s="40"/>
      <c r="I14" s="29" t="s">
        <v>117</v>
      </c>
      <c r="J14" s="34" t="s">
        <v>118</v>
      </c>
      <c r="K14" s="35"/>
    </row>
    <row r="15" customFormat="false" ht="15" hidden="false" customHeight="false" outlineLevel="0" collapsed="false">
      <c r="A15" s="32" t="n">
        <v>46297</v>
      </c>
      <c r="B15" s="29" t="s">
        <v>90</v>
      </c>
      <c r="C15" s="29" t="s">
        <v>77</v>
      </c>
      <c r="D15" s="25"/>
      <c r="E15" s="25" t="n">
        <v>5200</v>
      </c>
      <c r="F15" s="18" t="n">
        <f aca="false">IF(AND(D15="",E15=""),"",'Danh mục'!$F$5+SUM($D$5:D15)-SUM($E$5:E15))</f>
        <v>-20667</v>
      </c>
      <c r="G15" s="40"/>
      <c r="H15" s="40"/>
      <c r="I15" s="29" t="s">
        <v>77</v>
      </c>
      <c r="J15" s="34" t="s">
        <v>119</v>
      </c>
      <c r="K15" s="35"/>
    </row>
    <row r="16" customFormat="false" ht="15" hidden="false" customHeight="false" outlineLevel="0" collapsed="false">
      <c r="A16" s="32" t="n">
        <v>46297</v>
      </c>
      <c r="B16" s="29" t="s">
        <v>82</v>
      </c>
      <c r="C16" s="29" t="s">
        <v>77</v>
      </c>
      <c r="D16" s="25"/>
      <c r="E16" s="25" t="n">
        <v>10000</v>
      </c>
      <c r="F16" s="18" t="n">
        <f aca="false">IF(AND(D16="",E16=""),"",'Danh mục'!$F$5+SUM($D$5:D16)-SUM($E$5:E16))</f>
        <v>-30667</v>
      </c>
      <c r="G16" s="40"/>
      <c r="H16" s="40"/>
      <c r="I16" s="29" t="s">
        <v>77</v>
      </c>
      <c r="J16" s="34" t="s">
        <v>120</v>
      </c>
      <c r="K16" s="35"/>
    </row>
    <row r="17" customFormat="false" ht="15" hidden="false" customHeight="false" outlineLevel="0" collapsed="false">
      <c r="A17" s="36" t="n">
        <v>46298</v>
      </c>
      <c r="B17" s="37" t="s">
        <v>74</v>
      </c>
      <c r="C17" s="37" t="s">
        <v>73</v>
      </c>
      <c r="D17" s="38" t="n">
        <v>25000</v>
      </c>
      <c r="E17" s="38"/>
      <c r="F17" s="39" t="n">
        <f aca="false">IF(AND(D17="",E17=""),"",'Danh mục'!$F$5+SUM($D$5:D17)-SUM($E$5:E17))</f>
        <v>-5667</v>
      </c>
      <c r="G17" s="40" t="n">
        <f aca="false">SUMIFS($D$5:$D$504,$A$5:$A$504,A17)</f>
        <v>40000</v>
      </c>
      <c r="H17" s="40" t="n">
        <f aca="false">SUMIFS($E$5:$E$504,$A$5:$A$504,A17)</f>
        <v>42001</v>
      </c>
      <c r="I17" s="37"/>
      <c r="J17" s="41" t="s">
        <v>121</v>
      </c>
      <c r="K17" s="42"/>
    </row>
    <row r="18" customFormat="false" ht="15" hidden="false" customHeight="false" outlineLevel="0" collapsed="false">
      <c r="A18" s="32" t="n">
        <v>46298</v>
      </c>
      <c r="B18" s="29" t="s">
        <v>74</v>
      </c>
      <c r="C18" s="29" t="s">
        <v>73</v>
      </c>
      <c r="D18" s="25" t="n">
        <v>15000</v>
      </c>
      <c r="E18" s="25"/>
      <c r="F18" s="18" t="n">
        <f aca="false">IF(AND(D18="",E18=""),"",'Danh mục'!$F$5+SUM($D$5:D18)-SUM($E$5:E18))</f>
        <v>9333</v>
      </c>
      <c r="G18" s="40"/>
      <c r="H18" s="40"/>
      <c r="I18" s="29"/>
      <c r="J18" s="34" t="s">
        <v>122</v>
      </c>
      <c r="K18" s="35"/>
    </row>
    <row r="19" customFormat="false" ht="15" hidden="false" customHeight="false" outlineLevel="0" collapsed="false">
      <c r="A19" s="32" t="n">
        <v>46298</v>
      </c>
      <c r="B19" s="29" t="s">
        <v>78</v>
      </c>
      <c r="C19" s="29" t="s">
        <v>81</v>
      </c>
      <c r="D19" s="25"/>
      <c r="E19" s="25" t="n">
        <v>11400</v>
      </c>
      <c r="F19" s="18" t="n">
        <f aca="false">IF(AND(D19="",E19=""),"",'Danh mục'!$F$5+SUM($D$5:D19)-SUM($E$5:E19))</f>
        <v>-2067</v>
      </c>
      <c r="G19" s="40"/>
      <c r="H19" s="40"/>
      <c r="I19" s="29" t="s">
        <v>123</v>
      </c>
      <c r="J19" s="34" t="s">
        <v>124</v>
      </c>
      <c r="K19" s="35"/>
    </row>
    <row r="20" customFormat="false" ht="15" hidden="false" customHeight="false" outlineLevel="0" collapsed="false">
      <c r="A20" s="32" t="n">
        <v>46298</v>
      </c>
      <c r="B20" s="29" t="s">
        <v>78</v>
      </c>
      <c r="C20" s="29" t="s">
        <v>81</v>
      </c>
      <c r="D20" s="25"/>
      <c r="E20" s="25" t="n">
        <v>529</v>
      </c>
      <c r="F20" s="18" t="n">
        <f aca="false">IF(AND(D20="",E20=""),"",'Danh mục'!$F$5+SUM($D$5:D20)-SUM($E$5:E20))</f>
        <v>-2596</v>
      </c>
      <c r="G20" s="40"/>
      <c r="H20" s="40"/>
      <c r="I20" s="29" t="s">
        <v>125</v>
      </c>
      <c r="J20" s="34" t="s">
        <v>126</v>
      </c>
      <c r="K20" s="35"/>
    </row>
    <row r="21" customFormat="false" ht="15" hidden="false" customHeight="false" outlineLevel="0" collapsed="false">
      <c r="A21" s="32" t="n">
        <v>46298</v>
      </c>
      <c r="B21" s="29" t="s">
        <v>78</v>
      </c>
      <c r="C21" s="29" t="s">
        <v>81</v>
      </c>
      <c r="D21" s="25"/>
      <c r="E21" s="25" t="n">
        <v>2700</v>
      </c>
      <c r="F21" s="18" t="n">
        <f aca="false">IF(AND(D21="",E21=""),"",'Danh mục'!$F$5+SUM($D$5:D21)-SUM($E$5:E21))</f>
        <v>-5296</v>
      </c>
      <c r="G21" s="40"/>
      <c r="H21" s="40"/>
      <c r="I21" s="29" t="s">
        <v>127</v>
      </c>
      <c r="J21" s="34" t="s">
        <v>128</v>
      </c>
      <c r="K21" s="35"/>
    </row>
    <row r="22" customFormat="false" ht="15" hidden="false" customHeight="false" outlineLevel="0" collapsed="false">
      <c r="A22" s="32" t="n">
        <v>46298</v>
      </c>
      <c r="B22" s="29" t="s">
        <v>91</v>
      </c>
      <c r="C22" s="29" t="s">
        <v>77</v>
      </c>
      <c r="D22" s="25"/>
      <c r="E22" s="25" t="n">
        <v>3600</v>
      </c>
      <c r="F22" s="18" t="n">
        <f aca="false">IF(AND(D22="",E22=""),"",'Danh mục'!$F$5+SUM($D$5:D22)-SUM($E$5:E22))</f>
        <v>-8896</v>
      </c>
      <c r="G22" s="40"/>
      <c r="H22" s="40"/>
      <c r="I22" s="29" t="s">
        <v>77</v>
      </c>
      <c r="J22" s="34" t="s">
        <v>129</v>
      </c>
      <c r="K22" s="35"/>
    </row>
    <row r="23" customFormat="false" ht="15" hidden="false" customHeight="false" outlineLevel="0" collapsed="false">
      <c r="A23" s="32" t="n">
        <v>46298</v>
      </c>
      <c r="B23" s="29" t="s">
        <v>88</v>
      </c>
      <c r="C23" s="29" t="s">
        <v>77</v>
      </c>
      <c r="D23" s="25"/>
      <c r="E23" s="25" t="n">
        <v>23772</v>
      </c>
      <c r="F23" s="18" t="n">
        <f aca="false">IF(AND(D23="",E23=""),"",'Danh mục'!$F$5+SUM($D$5:D23)-SUM($E$5:E23))</f>
        <v>-32668</v>
      </c>
      <c r="G23" s="40"/>
      <c r="H23" s="40"/>
      <c r="I23" s="29" t="s">
        <v>130</v>
      </c>
      <c r="J23" s="34" t="s">
        <v>131</v>
      </c>
      <c r="K23" s="35" t="s">
        <v>116</v>
      </c>
    </row>
    <row r="24" customFormat="false" ht="15" hidden="false" customHeight="false" outlineLevel="0" collapsed="false">
      <c r="A24" s="43" t="n">
        <v>46299</v>
      </c>
      <c r="B24" s="44" t="s">
        <v>74</v>
      </c>
      <c r="C24" s="44" t="s">
        <v>73</v>
      </c>
      <c r="D24" s="45" t="n">
        <v>300000</v>
      </c>
      <c r="E24" s="45"/>
      <c r="F24" s="46" t="n">
        <f aca="false">IF(AND(D24="",E24=""),"",'Danh mục'!$F$5+SUM($D$5:D24)-SUM($E$5:E24))</f>
        <v>267332</v>
      </c>
      <c r="G24" s="40" t="n">
        <f aca="false">SUMIFS($D$5:$D$504,$A$5:$A$504,A24)</f>
        <v>300000</v>
      </c>
      <c r="H24" s="40" t="n">
        <f aca="false">SUMIFS($E$5:$E$504,$A$5:$A$504,A24)</f>
        <v>8826</v>
      </c>
      <c r="I24" s="44"/>
      <c r="J24" s="47" t="s">
        <v>132</v>
      </c>
      <c r="K24" s="48" t="s">
        <v>133</v>
      </c>
    </row>
    <row r="25" customFormat="false" ht="15" hidden="false" customHeight="false" outlineLevel="0" collapsed="false">
      <c r="A25" s="32" t="n">
        <v>46299</v>
      </c>
      <c r="B25" s="29" t="s">
        <v>78</v>
      </c>
      <c r="C25" s="29" t="s">
        <v>89</v>
      </c>
      <c r="D25" s="25"/>
      <c r="E25" s="25" t="n">
        <v>2226</v>
      </c>
      <c r="F25" s="18" t="n">
        <f aca="false">IF(AND(D25="",E25=""),"",'Danh mục'!$F$5+SUM($D$5:D25)-SUM($E$5:E25))</f>
        <v>265106</v>
      </c>
      <c r="G25" s="40"/>
      <c r="H25" s="40"/>
      <c r="I25" s="29"/>
      <c r="J25" s="34" t="s">
        <v>134</v>
      </c>
      <c r="K25" s="35" t="s">
        <v>135</v>
      </c>
    </row>
    <row r="26" customFormat="false" ht="15" hidden="false" customHeight="false" outlineLevel="0" collapsed="false">
      <c r="A26" s="32" t="n">
        <v>46299</v>
      </c>
      <c r="B26" s="29" t="s">
        <v>78</v>
      </c>
      <c r="C26" s="29" t="s">
        <v>89</v>
      </c>
      <c r="D26" s="25"/>
      <c r="E26" s="25" t="n">
        <v>2000</v>
      </c>
      <c r="F26" s="18" t="n">
        <f aca="false">IF(AND(D26="",E26=""),"",'Danh mục'!$F$5+SUM($D$5:D26)-SUM($E$5:E26))</f>
        <v>263106</v>
      </c>
      <c r="G26" s="40"/>
      <c r="H26" s="40"/>
      <c r="I26" s="29"/>
      <c r="J26" s="34" t="s">
        <v>136</v>
      </c>
      <c r="K26" s="35" t="s">
        <v>135</v>
      </c>
    </row>
    <row r="27" customFormat="false" ht="15" hidden="false" customHeight="false" outlineLevel="0" collapsed="false">
      <c r="A27" s="32" t="n">
        <v>46299</v>
      </c>
      <c r="B27" s="29" t="s">
        <v>74</v>
      </c>
      <c r="C27" s="29" t="s">
        <v>81</v>
      </c>
      <c r="D27" s="25"/>
      <c r="E27" s="25" t="n">
        <v>4600</v>
      </c>
      <c r="F27" s="18" t="n">
        <f aca="false">IF(AND(D27="",E27=""),"",'Danh mục'!$F$5+SUM($D$5:D27)-SUM($E$5:E27))</f>
        <v>258506</v>
      </c>
      <c r="G27" s="40"/>
      <c r="H27" s="40"/>
      <c r="I27" s="29" t="s">
        <v>137</v>
      </c>
      <c r="J27" s="34" t="s">
        <v>138</v>
      </c>
      <c r="K27" s="35" t="s">
        <v>139</v>
      </c>
    </row>
    <row r="28" customFormat="false" ht="15" hidden="false" customHeight="false" outlineLevel="0" collapsed="false">
      <c r="A28" s="36" t="n">
        <v>46300</v>
      </c>
      <c r="B28" s="37" t="s">
        <v>74</v>
      </c>
      <c r="C28" s="37" t="s">
        <v>84</v>
      </c>
      <c r="D28" s="38"/>
      <c r="E28" s="38" t="n">
        <v>20000</v>
      </c>
      <c r="F28" s="39" t="n">
        <f aca="false">IF(AND(D28="",E28=""),"",'Danh mục'!$F$5+SUM($D$5:D28)-SUM($E$5:E28))</f>
        <v>238506</v>
      </c>
      <c r="G28" s="40" t="n">
        <f aca="false">SUMIFS($D$5:$D$504,$A$5:$A$504,A28)</f>
        <v>0</v>
      </c>
      <c r="H28" s="40" t="n">
        <f aca="false">SUMIFS($E$5:$E$504,$A$5:$A$504,A28)</f>
        <v>22500</v>
      </c>
      <c r="I28" s="37" t="s">
        <v>140</v>
      </c>
      <c r="J28" s="41" t="s">
        <v>141</v>
      </c>
      <c r="K28" s="42"/>
    </row>
    <row r="29" customFormat="false" ht="15" hidden="false" customHeight="false" outlineLevel="0" collapsed="false">
      <c r="A29" s="32" t="n">
        <v>46300</v>
      </c>
      <c r="B29" s="29" t="s">
        <v>78</v>
      </c>
      <c r="C29" s="29" t="s">
        <v>89</v>
      </c>
      <c r="D29" s="25"/>
      <c r="E29" s="25" t="n">
        <v>1500</v>
      </c>
      <c r="F29" s="18" t="n">
        <f aca="false">IF(AND(D29="",E29=""),"",'Danh mục'!$F$5+SUM($D$5:D29)-SUM($E$5:E29))</f>
        <v>237006</v>
      </c>
      <c r="G29" s="40"/>
      <c r="H29" s="40"/>
      <c r="I29" s="29"/>
      <c r="J29" s="34" t="s">
        <v>142</v>
      </c>
      <c r="K29" s="35" t="s">
        <v>143</v>
      </c>
    </row>
    <row r="30" customFormat="false" ht="15" hidden="false" customHeight="false" outlineLevel="0" collapsed="false">
      <c r="A30" s="32" t="n">
        <v>46300</v>
      </c>
      <c r="B30" s="29" t="s">
        <v>78</v>
      </c>
      <c r="C30" s="29" t="s">
        <v>89</v>
      </c>
      <c r="D30" s="25"/>
      <c r="E30" s="25" t="n">
        <v>1000</v>
      </c>
      <c r="F30" s="18" t="n">
        <f aca="false">IF(AND(D30="",E30=""),"",'Danh mục'!$F$5+SUM($D$5:D30)-SUM($E$5:E30))</f>
        <v>236006</v>
      </c>
      <c r="G30" s="40"/>
      <c r="H30" s="40"/>
      <c r="I30" s="29"/>
      <c r="J30" s="34" t="s">
        <v>144</v>
      </c>
      <c r="K30" s="35" t="s">
        <v>143</v>
      </c>
    </row>
    <row r="31" customFormat="false" ht="15" hidden="false" customHeight="false" outlineLevel="0" collapsed="false">
      <c r="A31" s="32"/>
      <c r="B31" s="29"/>
      <c r="C31" s="29"/>
      <c r="D31" s="25"/>
      <c r="E31" s="25"/>
      <c r="F31" s="18" t="str">
        <f aca="false">IF(AND(D31="",E31=""),"",'Danh mục'!$F$5+SUM($D$5:D31)-SUM($E$5:E31))</f>
        <v/>
      </c>
      <c r="G31" s="33" t="str">
        <f aca="false">IF(OR(A31="",AND(A31=A30)),"",SUMIFS($D$5:$D$504,$A$5:$A$504,A31))</f>
        <v/>
      </c>
      <c r="H31" s="33" t="str">
        <f aca="false">IF(OR(A31="",AND(A31=A30)),"",SUMIFS($E$5:$E$504,$A$5:$A$504,A31))</f>
        <v/>
      </c>
      <c r="I31" s="29"/>
      <c r="J31" s="34"/>
      <c r="K31" s="35"/>
    </row>
    <row r="32" customFormat="false" ht="15" hidden="false" customHeight="false" outlineLevel="0" collapsed="false">
      <c r="A32" s="32"/>
      <c r="B32" s="29"/>
      <c r="C32" s="29"/>
      <c r="D32" s="25"/>
      <c r="E32" s="25"/>
      <c r="F32" s="18" t="str">
        <f aca="false">IF(AND(D32="",E32=""),"",'Danh mục'!$F$5+SUM($D$5:D32)-SUM($E$5:E32))</f>
        <v/>
      </c>
      <c r="G32" s="33" t="str">
        <f aca="false">IF(OR(A32="",AND(A32=A31)),"",SUMIFS($D$5:$D$504,$A$5:$A$504,A32))</f>
        <v/>
      </c>
      <c r="H32" s="33" t="str">
        <f aca="false">IF(OR(A32="",AND(A32=A31)),"",SUMIFS($E$5:$E$504,$A$5:$A$504,A32))</f>
        <v/>
      </c>
      <c r="I32" s="29"/>
      <c r="J32" s="34"/>
      <c r="K32" s="35"/>
    </row>
    <row r="33" customFormat="false" ht="15" hidden="false" customHeight="false" outlineLevel="0" collapsed="false">
      <c r="A33" s="32"/>
      <c r="B33" s="29"/>
      <c r="C33" s="29"/>
      <c r="D33" s="25"/>
      <c r="E33" s="25"/>
      <c r="F33" s="18" t="str">
        <f aca="false">IF(AND(D33="",E33=""),"",'Danh mục'!$F$5+SUM($D$5:D33)-SUM($E$5:E33))</f>
        <v/>
      </c>
      <c r="G33" s="33" t="str">
        <f aca="false">IF(OR(A33="",AND(A33=A32)),"",SUMIFS($D$5:$D$504,$A$5:$A$504,A33))</f>
        <v/>
      </c>
      <c r="H33" s="33" t="str">
        <f aca="false">IF(OR(A33="",AND(A33=A32)),"",SUMIFS($E$5:$E$504,$A$5:$A$504,A33))</f>
        <v/>
      </c>
      <c r="I33" s="29"/>
      <c r="J33" s="34"/>
      <c r="K33" s="35"/>
    </row>
    <row r="34" customFormat="false" ht="15" hidden="false" customHeight="false" outlineLevel="0" collapsed="false">
      <c r="A34" s="32"/>
      <c r="B34" s="29"/>
      <c r="C34" s="29"/>
      <c r="D34" s="25"/>
      <c r="E34" s="25"/>
      <c r="F34" s="18" t="str">
        <f aca="false">IF(AND(D34="",E34=""),"",'Danh mục'!$F$5+SUM($D$5:D34)-SUM($E$5:E34))</f>
        <v/>
      </c>
      <c r="G34" s="33" t="str">
        <f aca="false">IF(OR(A34="",AND(A34=A33)),"",SUMIFS($D$5:$D$504,$A$5:$A$504,A34))</f>
        <v/>
      </c>
      <c r="H34" s="33" t="str">
        <f aca="false">IF(OR(A34="",AND(A34=A33)),"",SUMIFS($E$5:$E$504,$A$5:$A$504,A34))</f>
        <v/>
      </c>
      <c r="I34" s="29"/>
      <c r="J34" s="34"/>
      <c r="K34" s="35"/>
    </row>
    <row r="35" customFormat="false" ht="15" hidden="false" customHeight="false" outlineLevel="0" collapsed="false">
      <c r="A35" s="32"/>
      <c r="B35" s="29"/>
      <c r="C35" s="29"/>
      <c r="D35" s="25"/>
      <c r="E35" s="25"/>
      <c r="F35" s="18" t="str">
        <f aca="false">IF(AND(D35="",E35=""),"",'Danh mục'!$F$5+SUM($D$5:D35)-SUM($E$5:E35))</f>
        <v/>
      </c>
      <c r="G35" s="33" t="str">
        <f aca="false">IF(OR(A35="",AND(A35=A34)),"",SUMIFS($D$5:$D$504,$A$5:$A$504,A35))</f>
        <v/>
      </c>
      <c r="H35" s="33" t="str">
        <f aca="false">IF(OR(A35="",AND(A35=A34)),"",SUMIFS($E$5:$E$504,$A$5:$A$504,A35))</f>
        <v/>
      </c>
      <c r="I35" s="29"/>
      <c r="J35" s="34"/>
      <c r="K35" s="35"/>
    </row>
    <row r="36" customFormat="false" ht="15" hidden="false" customHeight="false" outlineLevel="0" collapsed="false">
      <c r="A36" s="32"/>
      <c r="B36" s="29"/>
      <c r="C36" s="29"/>
      <c r="D36" s="25"/>
      <c r="E36" s="25"/>
      <c r="F36" s="18" t="str">
        <f aca="false">IF(AND(D36="",E36=""),"",'Danh mục'!$F$5+SUM($D$5:D36)-SUM($E$5:E36))</f>
        <v/>
      </c>
      <c r="G36" s="33" t="str">
        <f aca="false">IF(OR(A36="",AND(A36=A35)),"",SUMIFS($D$5:$D$504,$A$5:$A$504,A36))</f>
        <v/>
      </c>
      <c r="H36" s="33" t="str">
        <f aca="false">IF(OR(A36="",AND(A36=A35)),"",SUMIFS($E$5:$E$504,$A$5:$A$504,A36))</f>
        <v/>
      </c>
      <c r="I36" s="29"/>
      <c r="J36" s="34"/>
      <c r="K36" s="35"/>
    </row>
    <row r="37" customFormat="false" ht="15" hidden="false" customHeight="false" outlineLevel="0" collapsed="false">
      <c r="A37" s="32"/>
      <c r="B37" s="29"/>
      <c r="C37" s="29"/>
      <c r="D37" s="25"/>
      <c r="E37" s="25"/>
      <c r="F37" s="18" t="str">
        <f aca="false">IF(AND(D37="",E37=""),"",'Danh mục'!$F$5+SUM($D$5:D37)-SUM($E$5:E37))</f>
        <v/>
      </c>
      <c r="G37" s="33" t="str">
        <f aca="false">IF(OR(A37="",AND(A37=A36)),"",SUMIFS($D$5:$D$504,$A$5:$A$504,A37))</f>
        <v/>
      </c>
      <c r="H37" s="33" t="str">
        <f aca="false">IF(OR(A37="",AND(A37=A36)),"",SUMIFS($E$5:$E$504,$A$5:$A$504,A37))</f>
        <v/>
      </c>
      <c r="I37" s="29"/>
      <c r="J37" s="34"/>
      <c r="K37" s="35"/>
    </row>
    <row r="38" customFormat="false" ht="15" hidden="false" customHeight="false" outlineLevel="0" collapsed="false">
      <c r="A38" s="32"/>
      <c r="B38" s="29"/>
      <c r="C38" s="29"/>
      <c r="D38" s="25"/>
      <c r="E38" s="25"/>
      <c r="F38" s="18" t="str">
        <f aca="false">IF(AND(D38="",E38=""),"",'Danh mục'!$F$5+SUM($D$5:D38)-SUM($E$5:E38))</f>
        <v/>
      </c>
      <c r="G38" s="33" t="str">
        <f aca="false">IF(OR(A38="",AND(A38=A37)),"",SUMIFS($D$5:$D$504,$A$5:$A$504,A38))</f>
        <v/>
      </c>
      <c r="H38" s="33" t="str">
        <f aca="false">IF(OR(A38="",AND(A38=A37)),"",SUMIFS($E$5:$E$504,$A$5:$A$504,A38))</f>
        <v/>
      </c>
      <c r="I38" s="29"/>
      <c r="J38" s="34"/>
      <c r="K38" s="35"/>
    </row>
    <row r="39" customFormat="false" ht="15" hidden="false" customHeight="false" outlineLevel="0" collapsed="false">
      <c r="A39" s="32"/>
      <c r="B39" s="29"/>
      <c r="C39" s="29"/>
      <c r="D39" s="25"/>
      <c r="E39" s="25"/>
      <c r="F39" s="18" t="str">
        <f aca="false">IF(AND(D39="",E39=""),"",'Danh mục'!$F$5+SUM($D$5:D39)-SUM($E$5:E39))</f>
        <v/>
      </c>
      <c r="G39" s="33" t="str">
        <f aca="false">IF(OR(A39="",AND(A39=A38)),"",SUMIFS($D$5:$D$504,$A$5:$A$504,A39))</f>
        <v/>
      </c>
      <c r="H39" s="33" t="str">
        <f aca="false">IF(OR(A39="",AND(A39=A38)),"",SUMIFS($E$5:$E$504,$A$5:$A$504,A39))</f>
        <v/>
      </c>
      <c r="I39" s="29"/>
      <c r="J39" s="34"/>
      <c r="K39" s="35"/>
    </row>
    <row r="40" customFormat="false" ht="15" hidden="false" customHeight="false" outlineLevel="0" collapsed="false">
      <c r="A40" s="32"/>
      <c r="B40" s="29"/>
      <c r="C40" s="29"/>
      <c r="D40" s="25"/>
      <c r="E40" s="25"/>
      <c r="F40" s="18" t="str">
        <f aca="false">IF(AND(D40="",E40=""),"",'Danh mục'!$F$5+SUM($D$5:D40)-SUM($E$5:E40))</f>
        <v/>
      </c>
      <c r="G40" s="33" t="str">
        <f aca="false">IF(OR(A40="",AND(A40=A39)),"",SUMIFS($D$5:$D$504,$A$5:$A$504,A40))</f>
        <v/>
      </c>
      <c r="H40" s="33" t="str">
        <f aca="false">IF(OR(A40="",AND(A40=A39)),"",SUMIFS($E$5:$E$504,$A$5:$A$504,A40))</f>
        <v/>
      </c>
      <c r="I40" s="29"/>
      <c r="J40" s="34"/>
      <c r="K40" s="35"/>
    </row>
    <row r="41" customFormat="false" ht="15" hidden="false" customHeight="false" outlineLevel="0" collapsed="false">
      <c r="A41" s="32"/>
      <c r="B41" s="29"/>
      <c r="C41" s="29"/>
      <c r="D41" s="25"/>
      <c r="E41" s="25"/>
      <c r="F41" s="18" t="str">
        <f aca="false">IF(AND(D41="",E41=""),"",'Danh mục'!$F$5+SUM($D$5:D41)-SUM($E$5:E41))</f>
        <v/>
      </c>
      <c r="G41" s="33" t="str">
        <f aca="false">IF(OR(A41="",AND(A41=A40)),"",SUMIFS($D$5:$D$504,$A$5:$A$504,A41))</f>
        <v/>
      </c>
      <c r="H41" s="33" t="str">
        <f aca="false">IF(OR(A41="",AND(A41=A40)),"",SUMIFS($E$5:$E$504,$A$5:$A$504,A41))</f>
        <v/>
      </c>
      <c r="I41" s="29"/>
      <c r="J41" s="34"/>
      <c r="K41" s="35"/>
    </row>
    <row r="42" customFormat="false" ht="15" hidden="false" customHeight="false" outlineLevel="0" collapsed="false">
      <c r="A42" s="32"/>
      <c r="B42" s="29"/>
      <c r="C42" s="29"/>
      <c r="D42" s="25"/>
      <c r="E42" s="25"/>
      <c r="F42" s="18" t="str">
        <f aca="false">IF(AND(D42="",E42=""),"",'Danh mục'!$F$5+SUM($D$5:D42)-SUM($E$5:E42))</f>
        <v/>
      </c>
      <c r="G42" s="33" t="str">
        <f aca="false">IF(OR(A42="",AND(A42=A41)),"",SUMIFS($D$5:$D$504,$A$5:$A$504,A42))</f>
        <v/>
      </c>
      <c r="H42" s="33" t="str">
        <f aca="false">IF(OR(A42="",AND(A42=A41)),"",SUMIFS($E$5:$E$504,$A$5:$A$504,A42))</f>
        <v/>
      </c>
      <c r="I42" s="29"/>
      <c r="J42" s="34"/>
      <c r="K42" s="35"/>
    </row>
    <row r="43" customFormat="false" ht="15" hidden="false" customHeight="false" outlineLevel="0" collapsed="false">
      <c r="A43" s="32"/>
      <c r="B43" s="29"/>
      <c r="C43" s="29"/>
      <c r="D43" s="25"/>
      <c r="E43" s="25"/>
      <c r="F43" s="18" t="str">
        <f aca="false">IF(AND(D43="",E43=""),"",'Danh mục'!$F$5+SUM($D$5:D43)-SUM($E$5:E43))</f>
        <v/>
      </c>
      <c r="G43" s="33" t="str">
        <f aca="false">IF(OR(A43="",AND(A43=A42)),"",SUMIFS($D$5:$D$504,$A$5:$A$504,A43))</f>
        <v/>
      </c>
      <c r="H43" s="33" t="str">
        <f aca="false">IF(OR(A43="",AND(A43=A42)),"",SUMIFS($E$5:$E$504,$A$5:$A$504,A43))</f>
        <v/>
      </c>
      <c r="I43" s="29"/>
      <c r="J43" s="34"/>
      <c r="K43" s="35"/>
    </row>
    <row r="44" customFormat="false" ht="15" hidden="false" customHeight="false" outlineLevel="0" collapsed="false">
      <c r="A44" s="32"/>
      <c r="B44" s="29"/>
      <c r="C44" s="29"/>
      <c r="D44" s="25"/>
      <c r="E44" s="25"/>
      <c r="F44" s="18" t="str">
        <f aca="false">IF(AND(D44="",E44=""),"",'Danh mục'!$F$5+SUM($D$5:D44)-SUM($E$5:E44))</f>
        <v/>
      </c>
      <c r="G44" s="33" t="str">
        <f aca="false">IF(OR(A44="",AND(A44=A43)),"",SUMIFS($D$5:$D$504,$A$5:$A$504,A44))</f>
        <v/>
      </c>
      <c r="H44" s="33" t="str">
        <f aca="false">IF(OR(A44="",AND(A44=A43)),"",SUMIFS($E$5:$E$504,$A$5:$A$504,A44))</f>
        <v/>
      </c>
      <c r="I44" s="29"/>
      <c r="J44" s="34"/>
      <c r="K44" s="35"/>
    </row>
    <row r="45" customFormat="false" ht="15" hidden="false" customHeight="false" outlineLevel="0" collapsed="false">
      <c r="A45" s="32"/>
      <c r="B45" s="29"/>
      <c r="C45" s="29"/>
      <c r="D45" s="25"/>
      <c r="E45" s="25"/>
      <c r="F45" s="18" t="str">
        <f aca="false">IF(AND(D45="",E45=""),"",'Danh mục'!$F$5+SUM($D$5:D45)-SUM($E$5:E45))</f>
        <v/>
      </c>
      <c r="G45" s="33" t="str">
        <f aca="false">IF(OR(A45="",AND(A45=A44)),"",SUMIFS($D$5:$D$504,$A$5:$A$504,A45))</f>
        <v/>
      </c>
      <c r="H45" s="33" t="str">
        <f aca="false">IF(OR(A45="",AND(A45=A44)),"",SUMIFS($E$5:$E$504,$A$5:$A$504,A45))</f>
        <v/>
      </c>
      <c r="I45" s="29"/>
      <c r="J45" s="34"/>
      <c r="K45" s="35"/>
    </row>
    <row r="46" customFormat="false" ht="15" hidden="false" customHeight="false" outlineLevel="0" collapsed="false">
      <c r="A46" s="32"/>
      <c r="B46" s="29"/>
      <c r="C46" s="29"/>
      <c r="D46" s="25"/>
      <c r="E46" s="25"/>
      <c r="F46" s="18" t="str">
        <f aca="false">IF(AND(D46="",E46=""),"",'Danh mục'!$F$5+SUM($D$5:D46)-SUM($E$5:E46))</f>
        <v/>
      </c>
      <c r="G46" s="33" t="str">
        <f aca="false">IF(OR(A46="",AND(A46=A45)),"",SUMIFS($D$5:$D$504,$A$5:$A$504,A46))</f>
        <v/>
      </c>
      <c r="H46" s="33" t="str">
        <f aca="false">IF(OR(A46="",AND(A46=A45)),"",SUMIFS($E$5:$E$504,$A$5:$A$504,A46))</f>
        <v/>
      </c>
      <c r="I46" s="29"/>
      <c r="J46" s="34"/>
      <c r="K46" s="35"/>
    </row>
    <row r="47" customFormat="false" ht="15" hidden="false" customHeight="false" outlineLevel="0" collapsed="false">
      <c r="A47" s="32"/>
      <c r="B47" s="29"/>
      <c r="C47" s="29"/>
      <c r="D47" s="25"/>
      <c r="E47" s="25"/>
      <c r="F47" s="18" t="str">
        <f aca="false">IF(AND(D47="",E47=""),"",'Danh mục'!$F$5+SUM($D$5:D47)-SUM($E$5:E47))</f>
        <v/>
      </c>
      <c r="G47" s="33" t="str">
        <f aca="false">IF(OR(A47="",AND(A47=A46)),"",SUMIFS($D$5:$D$504,$A$5:$A$504,A47))</f>
        <v/>
      </c>
      <c r="H47" s="33" t="str">
        <f aca="false">IF(OR(A47="",AND(A47=A46)),"",SUMIFS($E$5:$E$504,$A$5:$A$504,A47))</f>
        <v/>
      </c>
      <c r="I47" s="29"/>
      <c r="J47" s="34"/>
      <c r="K47" s="35"/>
    </row>
    <row r="48" customFormat="false" ht="15" hidden="false" customHeight="false" outlineLevel="0" collapsed="false">
      <c r="A48" s="32"/>
      <c r="B48" s="29"/>
      <c r="C48" s="29"/>
      <c r="D48" s="25"/>
      <c r="E48" s="25"/>
      <c r="F48" s="18" t="str">
        <f aca="false">IF(AND(D48="",E48=""),"",'Danh mục'!$F$5+SUM($D$5:D48)-SUM($E$5:E48))</f>
        <v/>
      </c>
      <c r="G48" s="33" t="str">
        <f aca="false">IF(OR(A48="",AND(A48=A47)),"",SUMIFS($D$5:$D$504,$A$5:$A$504,A48))</f>
        <v/>
      </c>
      <c r="H48" s="33" t="str">
        <f aca="false">IF(OR(A48="",AND(A48=A47)),"",SUMIFS($E$5:$E$504,$A$5:$A$504,A48))</f>
        <v/>
      </c>
      <c r="I48" s="29"/>
      <c r="J48" s="34"/>
      <c r="K48" s="35"/>
    </row>
    <row r="49" customFormat="false" ht="15" hidden="false" customHeight="false" outlineLevel="0" collapsed="false">
      <c r="A49" s="32"/>
      <c r="B49" s="29"/>
      <c r="C49" s="29"/>
      <c r="D49" s="25"/>
      <c r="E49" s="25"/>
      <c r="F49" s="18" t="str">
        <f aca="false">IF(AND(D49="",E49=""),"",'Danh mục'!$F$5+SUM($D$5:D49)-SUM($E$5:E49))</f>
        <v/>
      </c>
      <c r="G49" s="33" t="str">
        <f aca="false">IF(OR(A49="",AND(A49=A48)),"",SUMIFS($D$5:$D$504,$A$5:$A$504,A49))</f>
        <v/>
      </c>
      <c r="H49" s="33" t="str">
        <f aca="false">IF(OR(A49="",AND(A49=A48)),"",SUMIFS($E$5:$E$504,$A$5:$A$504,A49))</f>
        <v/>
      </c>
      <c r="I49" s="29"/>
      <c r="J49" s="34"/>
      <c r="K49" s="35"/>
    </row>
    <row r="50" customFormat="false" ht="15" hidden="false" customHeight="false" outlineLevel="0" collapsed="false">
      <c r="A50" s="32"/>
      <c r="B50" s="29"/>
      <c r="C50" s="29"/>
      <c r="D50" s="25"/>
      <c r="E50" s="25"/>
      <c r="F50" s="18" t="str">
        <f aca="false">IF(AND(D50="",E50=""),"",'Danh mục'!$F$5+SUM($D$5:D50)-SUM($E$5:E50))</f>
        <v/>
      </c>
      <c r="G50" s="33" t="str">
        <f aca="false">IF(OR(A50="",AND(A50=A49)),"",SUMIFS($D$5:$D$504,$A$5:$A$504,A50))</f>
        <v/>
      </c>
      <c r="H50" s="33" t="str">
        <f aca="false">IF(OR(A50="",AND(A50=A49)),"",SUMIFS($E$5:$E$504,$A$5:$A$504,A50))</f>
        <v/>
      </c>
      <c r="I50" s="29"/>
      <c r="J50" s="34"/>
      <c r="K50" s="35"/>
    </row>
    <row r="51" customFormat="false" ht="15" hidden="false" customHeight="false" outlineLevel="0" collapsed="false">
      <c r="A51" s="32"/>
      <c r="B51" s="29"/>
      <c r="C51" s="29"/>
      <c r="D51" s="25"/>
      <c r="E51" s="25"/>
      <c r="F51" s="18" t="str">
        <f aca="false">IF(AND(D51="",E51=""),"",'Danh mục'!$F$5+SUM($D$5:D51)-SUM($E$5:E51))</f>
        <v/>
      </c>
      <c r="G51" s="33" t="str">
        <f aca="false">IF(OR(A51="",AND(A51=A50)),"",SUMIFS($D$5:$D$504,$A$5:$A$504,A51))</f>
        <v/>
      </c>
      <c r="H51" s="33" t="str">
        <f aca="false">IF(OR(A51="",AND(A51=A50)),"",SUMIFS($E$5:$E$504,$A$5:$A$504,A51))</f>
        <v/>
      </c>
      <c r="I51" s="29"/>
      <c r="J51" s="34"/>
      <c r="K51" s="35"/>
    </row>
    <row r="52" customFormat="false" ht="15" hidden="false" customHeight="false" outlineLevel="0" collapsed="false">
      <c r="A52" s="32"/>
      <c r="B52" s="29"/>
      <c r="C52" s="29"/>
      <c r="D52" s="25"/>
      <c r="E52" s="25"/>
      <c r="F52" s="18" t="str">
        <f aca="false">IF(AND(D52="",E52=""),"",'Danh mục'!$F$5+SUM($D$5:D52)-SUM($E$5:E52))</f>
        <v/>
      </c>
      <c r="G52" s="33" t="str">
        <f aca="false">IF(OR(A52="",AND(A52=A51)),"",SUMIFS($D$5:$D$504,$A$5:$A$504,A52))</f>
        <v/>
      </c>
      <c r="H52" s="33" t="str">
        <f aca="false">IF(OR(A52="",AND(A52=A51)),"",SUMIFS($E$5:$E$504,$A$5:$A$504,A52))</f>
        <v/>
      </c>
      <c r="I52" s="29"/>
      <c r="J52" s="34"/>
      <c r="K52" s="35"/>
    </row>
    <row r="53" customFormat="false" ht="15" hidden="false" customHeight="false" outlineLevel="0" collapsed="false">
      <c r="A53" s="32"/>
      <c r="B53" s="29"/>
      <c r="C53" s="29"/>
      <c r="D53" s="25"/>
      <c r="E53" s="25"/>
      <c r="F53" s="18" t="str">
        <f aca="false">IF(AND(D53="",E53=""),"",'Danh mục'!$F$5+SUM($D$5:D53)-SUM($E$5:E53))</f>
        <v/>
      </c>
      <c r="G53" s="33" t="str">
        <f aca="false">IF(OR(A53="",AND(A53=A52)),"",SUMIFS($D$5:$D$504,$A$5:$A$504,A53))</f>
        <v/>
      </c>
      <c r="H53" s="33" t="str">
        <f aca="false">IF(OR(A53="",AND(A53=A52)),"",SUMIFS($E$5:$E$504,$A$5:$A$504,A53))</f>
        <v/>
      </c>
      <c r="I53" s="29"/>
      <c r="J53" s="34"/>
      <c r="K53" s="35"/>
    </row>
    <row r="54" customFormat="false" ht="15" hidden="false" customHeight="false" outlineLevel="0" collapsed="false">
      <c r="A54" s="32"/>
      <c r="B54" s="29"/>
      <c r="C54" s="29"/>
      <c r="D54" s="25"/>
      <c r="E54" s="25"/>
      <c r="F54" s="18" t="str">
        <f aca="false">IF(AND(D54="",E54=""),"",'Danh mục'!$F$5+SUM($D$5:D54)-SUM($E$5:E54))</f>
        <v/>
      </c>
      <c r="G54" s="33" t="str">
        <f aca="false">IF(OR(A54="",AND(A54=A53)),"",SUMIFS($D$5:$D$504,$A$5:$A$504,A54))</f>
        <v/>
      </c>
      <c r="H54" s="33" t="str">
        <f aca="false">IF(OR(A54="",AND(A54=A53)),"",SUMIFS($E$5:$E$504,$A$5:$A$504,A54))</f>
        <v/>
      </c>
      <c r="I54" s="29"/>
      <c r="J54" s="34"/>
      <c r="K54" s="35"/>
    </row>
    <row r="55" customFormat="false" ht="15" hidden="false" customHeight="false" outlineLevel="0" collapsed="false">
      <c r="A55" s="32"/>
      <c r="B55" s="29"/>
      <c r="C55" s="29"/>
      <c r="D55" s="25"/>
      <c r="E55" s="25"/>
      <c r="F55" s="18" t="str">
        <f aca="false">IF(AND(D55="",E55=""),"",'Danh mục'!$F$5+SUM($D$5:D55)-SUM($E$5:E55))</f>
        <v/>
      </c>
      <c r="G55" s="33" t="str">
        <f aca="false">IF(OR(A55="",AND(A55=A54)),"",SUMIFS($D$5:$D$504,$A$5:$A$504,A55))</f>
        <v/>
      </c>
      <c r="H55" s="33" t="str">
        <f aca="false">IF(OR(A55="",AND(A55=A54)),"",SUMIFS($E$5:$E$504,$A$5:$A$504,A55))</f>
        <v/>
      </c>
      <c r="I55" s="29"/>
      <c r="J55" s="34"/>
      <c r="K55" s="35"/>
    </row>
    <row r="56" customFormat="false" ht="15" hidden="false" customHeight="false" outlineLevel="0" collapsed="false">
      <c r="A56" s="32"/>
      <c r="B56" s="29"/>
      <c r="C56" s="29"/>
      <c r="D56" s="25"/>
      <c r="E56" s="25"/>
      <c r="F56" s="18" t="str">
        <f aca="false">IF(AND(D56="",E56=""),"",'Danh mục'!$F$5+SUM($D$5:D56)-SUM($E$5:E56))</f>
        <v/>
      </c>
      <c r="G56" s="33" t="str">
        <f aca="false">IF(OR(A56="",AND(A56=A55)),"",SUMIFS($D$5:$D$504,$A$5:$A$504,A56))</f>
        <v/>
      </c>
      <c r="H56" s="33" t="str">
        <f aca="false">IF(OR(A56="",AND(A56=A55)),"",SUMIFS($E$5:$E$504,$A$5:$A$504,A56))</f>
        <v/>
      </c>
      <c r="I56" s="29"/>
      <c r="J56" s="34"/>
      <c r="K56" s="35"/>
    </row>
    <row r="57" customFormat="false" ht="15" hidden="false" customHeight="false" outlineLevel="0" collapsed="false">
      <c r="A57" s="32"/>
      <c r="B57" s="29"/>
      <c r="C57" s="29"/>
      <c r="D57" s="25"/>
      <c r="E57" s="25"/>
      <c r="F57" s="18" t="str">
        <f aca="false">IF(AND(D57="",E57=""),"",'Danh mục'!$F$5+SUM($D$5:D57)-SUM($E$5:E57))</f>
        <v/>
      </c>
      <c r="G57" s="33" t="str">
        <f aca="false">IF(OR(A57="",AND(A57=A56)),"",SUMIFS($D$5:$D$504,$A$5:$A$504,A57))</f>
        <v/>
      </c>
      <c r="H57" s="33" t="str">
        <f aca="false">IF(OR(A57="",AND(A57=A56)),"",SUMIFS($E$5:$E$504,$A$5:$A$504,A57))</f>
        <v/>
      </c>
      <c r="I57" s="29"/>
      <c r="J57" s="34"/>
      <c r="K57" s="35"/>
    </row>
    <row r="58" customFormat="false" ht="15" hidden="false" customHeight="false" outlineLevel="0" collapsed="false">
      <c r="A58" s="32"/>
      <c r="B58" s="29"/>
      <c r="C58" s="29"/>
      <c r="D58" s="25"/>
      <c r="E58" s="25"/>
      <c r="F58" s="18" t="str">
        <f aca="false">IF(AND(D58="",E58=""),"",'Danh mục'!$F$5+SUM($D$5:D58)-SUM($E$5:E58))</f>
        <v/>
      </c>
      <c r="G58" s="33" t="str">
        <f aca="false">IF(OR(A58="",AND(A58=A57)),"",SUMIFS($D$5:$D$504,$A$5:$A$504,A58))</f>
        <v/>
      </c>
      <c r="H58" s="33" t="str">
        <f aca="false">IF(OR(A58="",AND(A58=A57)),"",SUMIFS($E$5:$E$504,$A$5:$A$504,A58))</f>
        <v/>
      </c>
      <c r="I58" s="29"/>
      <c r="J58" s="34"/>
      <c r="K58" s="35"/>
    </row>
    <row r="59" customFormat="false" ht="15" hidden="false" customHeight="false" outlineLevel="0" collapsed="false">
      <c r="A59" s="32"/>
      <c r="B59" s="29"/>
      <c r="C59" s="29"/>
      <c r="D59" s="25"/>
      <c r="E59" s="25"/>
      <c r="F59" s="18" t="str">
        <f aca="false">IF(AND(D59="",E59=""),"",'Danh mục'!$F$5+SUM($D$5:D59)-SUM($E$5:E59))</f>
        <v/>
      </c>
      <c r="G59" s="33" t="str">
        <f aca="false">IF(OR(A59="",AND(A59=A58)),"",SUMIFS($D$5:$D$504,$A$5:$A$504,A59))</f>
        <v/>
      </c>
      <c r="H59" s="33" t="str">
        <f aca="false">IF(OR(A59="",AND(A59=A58)),"",SUMIFS($E$5:$E$504,$A$5:$A$504,A59))</f>
        <v/>
      </c>
      <c r="I59" s="29"/>
      <c r="J59" s="34"/>
      <c r="K59" s="35"/>
    </row>
    <row r="60" customFormat="false" ht="15" hidden="false" customHeight="false" outlineLevel="0" collapsed="false">
      <c r="A60" s="32"/>
      <c r="B60" s="29"/>
      <c r="C60" s="29"/>
      <c r="D60" s="25"/>
      <c r="E60" s="25"/>
      <c r="F60" s="18" t="str">
        <f aca="false">IF(AND(D60="",E60=""),"",'Danh mục'!$F$5+SUM($D$5:D60)-SUM($E$5:E60))</f>
        <v/>
      </c>
      <c r="G60" s="33" t="str">
        <f aca="false">IF(OR(A60="",AND(A60=A59)),"",SUMIFS($D$5:$D$504,$A$5:$A$504,A60))</f>
        <v/>
      </c>
      <c r="H60" s="33" t="str">
        <f aca="false">IF(OR(A60="",AND(A60=A59)),"",SUMIFS($E$5:$E$504,$A$5:$A$504,A60))</f>
        <v/>
      </c>
      <c r="I60" s="29"/>
      <c r="J60" s="34"/>
      <c r="K60" s="35"/>
    </row>
    <row r="61" customFormat="false" ht="15" hidden="false" customHeight="false" outlineLevel="0" collapsed="false">
      <c r="A61" s="32"/>
      <c r="B61" s="29"/>
      <c r="C61" s="29"/>
      <c r="D61" s="25"/>
      <c r="E61" s="25"/>
      <c r="F61" s="18" t="str">
        <f aca="false">IF(AND(D61="",E61=""),"",'Danh mục'!$F$5+SUM($D$5:D61)-SUM($E$5:E61))</f>
        <v/>
      </c>
      <c r="G61" s="33" t="str">
        <f aca="false">IF(OR(A61="",AND(A61=A60)),"",SUMIFS($D$5:$D$504,$A$5:$A$504,A61))</f>
        <v/>
      </c>
      <c r="H61" s="33" t="str">
        <f aca="false">IF(OR(A61="",AND(A61=A60)),"",SUMIFS($E$5:$E$504,$A$5:$A$504,A61))</f>
        <v/>
      </c>
      <c r="I61" s="29"/>
      <c r="J61" s="34"/>
      <c r="K61" s="35"/>
    </row>
    <row r="62" customFormat="false" ht="15" hidden="false" customHeight="false" outlineLevel="0" collapsed="false">
      <c r="A62" s="32"/>
      <c r="B62" s="29"/>
      <c r="C62" s="29"/>
      <c r="D62" s="25"/>
      <c r="E62" s="25"/>
      <c r="F62" s="18" t="str">
        <f aca="false">IF(AND(D62="",E62=""),"",'Danh mục'!$F$5+SUM($D$5:D62)-SUM($E$5:E62))</f>
        <v/>
      </c>
      <c r="G62" s="33" t="str">
        <f aca="false">IF(OR(A62="",AND(A62=A61)),"",SUMIFS($D$5:$D$504,$A$5:$A$504,A62))</f>
        <v/>
      </c>
      <c r="H62" s="33" t="str">
        <f aca="false">IF(OR(A62="",AND(A62=A61)),"",SUMIFS($E$5:$E$504,$A$5:$A$504,A62))</f>
        <v/>
      </c>
      <c r="I62" s="29"/>
      <c r="J62" s="34"/>
      <c r="K62" s="35"/>
    </row>
    <row r="63" customFormat="false" ht="15" hidden="false" customHeight="false" outlineLevel="0" collapsed="false">
      <c r="A63" s="32"/>
      <c r="B63" s="29"/>
      <c r="C63" s="29"/>
      <c r="D63" s="25"/>
      <c r="E63" s="25"/>
      <c r="F63" s="18" t="str">
        <f aca="false">IF(AND(D63="",E63=""),"",'Danh mục'!$F$5+SUM($D$5:D63)-SUM($E$5:E63))</f>
        <v/>
      </c>
      <c r="G63" s="33" t="str">
        <f aca="false">IF(OR(A63="",AND(A63=A62)),"",SUMIFS($D$5:$D$504,$A$5:$A$504,A63))</f>
        <v/>
      </c>
      <c r="H63" s="33" t="str">
        <f aca="false">IF(OR(A63="",AND(A63=A62)),"",SUMIFS($E$5:$E$504,$A$5:$A$504,A63))</f>
        <v/>
      </c>
      <c r="I63" s="29"/>
      <c r="J63" s="34"/>
      <c r="K63" s="35"/>
    </row>
    <row r="64" customFormat="false" ht="15" hidden="false" customHeight="false" outlineLevel="0" collapsed="false">
      <c r="A64" s="32"/>
      <c r="B64" s="29"/>
      <c r="C64" s="29"/>
      <c r="D64" s="25"/>
      <c r="E64" s="25"/>
      <c r="F64" s="18" t="str">
        <f aca="false">IF(AND(D64="",E64=""),"",'Danh mục'!$F$5+SUM($D$5:D64)-SUM($E$5:E64))</f>
        <v/>
      </c>
      <c r="G64" s="33" t="str">
        <f aca="false">IF(OR(A64="",AND(A64=A63)),"",SUMIFS($D$5:$D$504,$A$5:$A$504,A64))</f>
        <v/>
      </c>
      <c r="H64" s="33" t="str">
        <f aca="false">IF(OR(A64="",AND(A64=A63)),"",SUMIFS($E$5:$E$504,$A$5:$A$504,A64))</f>
        <v/>
      </c>
      <c r="I64" s="29"/>
      <c r="J64" s="34"/>
      <c r="K64" s="35"/>
    </row>
    <row r="65" customFormat="false" ht="15" hidden="false" customHeight="false" outlineLevel="0" collapsed="false">
      <c r="A65" s="32"/>
      <c r="B65" s="29"/>
      <c r="C65" s="29"/>
      <c r="D65" s="25"/>
      <c r="E65" s="25"/>
      <c r="F65" s="18" t="str">
        <f aca="false">IF(AND(D65="",E65=""),"",'Danh mục'!$F$5+SUM($D$5:D65)-SUM($E$5:E65))</f>
        <v/>
      </c>
      <c r="G65" s="33" t="str">
        <f aca="false">IF(OR(A65="",AND(A65=A64)),"",SUMIFS($D$5:$D$504,$A$5:$A$504,A65))</f>
        <v/>
      </c>
      <c r="H65" s="33" t="str">
        <f aca="false">IF(OR(A65="",AND(A65=A64)),"",SUMIFS($E$5:$E$504,$A$5:$A$504,A65))</f>
        <v/>
      </c>
      <c r="I65" s="29"/>
      <c r="J65" s="34"/>
      <c r="K65" s="35"/>
    </row>
    <row r="66" customFormat="false" ht="15" hidden="false" customHeight="false" outlineLevel="0" collapsed="false">
      <c r="A66" s="32"/>
      <c r="B66" s="29"/>
      <c r="C66" s="29"/>
      <c r="D66" s="25"/>
      <c r="E66" s="25"/>
      <c r="F66" s="18" t="str">
        <f aca="false">IF(AND(D66="",E66=""),"",'Danh mục'!$F$5+SUM($D$5:D66)-SUM($E$5:E66))</f>
        <v/>
      </c>
      <c r="G66" s="33" t="str">
        <f aca="false">IF(OR(A66="",AND(A66=A65)),"",SUMIFS($D$5:$D$504,$A$5:$A$504,A66))</f>
        <v/>
      </c>
      <c r="H66" s="33" t="str">
        <f aca="false">IF(OR(A66="",AND(A66=A65)),"",SUMIFS($E$5:$E$504,$A$5:$A$504,A66))</f>
        <v/>
      </c>
      <c r="I66" s="29"/>
      <c r="J66" s="34"/>
      <c r="K66" s="35"/>
    </row>
    <row r="67" customFormat="false" ht="15" hidden="false" customHeight="false" outlineLevel="0" collapsed="false">
      <c r="A67" s="32"/>
      <c r="B67" s="29"/>
      <c r="C67" s="29"/>
      <c r="D67" s="25"/>
      <c r="E67" s="25"/>
      <c r="F67" s="18" t="str">
        <f aca="false">IF(AND(D67="",E67=""),"",'Danh mục'!$F$5+SUM($D$5:D67)-SUM($E$5:E67))</f>
        <v/>
      </c>
      <c r="G67" s="33" t="str">
        <f aca="false">IF(OR(A67="",AND(A67=A66)),"",SUMIFS($D$5:$D$504,$A$5:$A$504,A67))</f>
        <v/>
      </c>
      <c r="H67" s="33" t="str">
        <f aca="false">IF(OR(A67="",AND(A67=A66)),"",SUMIFS($E$5:$E$504,$A$5:$A$504,A67))</f>
        <v/>
      </c>
      <c r="I67" s="29"/>
      <c r="J67" s="34"/>
      <c r="K67" s="35"/>
    </row>
    <row r="68" customFormat="false" ht="15" hidden="false" customHeight="false" outlineLevel="0" collapsed="false">
      <c r="A68" s="32"/>
      <c r="B68" s="29"/>
      <c r="C68" s="29"/>
      <c r="D68" s="25"/>
      <c r="E68" s="25"/>
      <c r="F68" s="18" t="str">
        <f aca="false">IF(AND(D68="",E68=""),"",'Danh mục'!$F$5+SUM($D$5:D68)-SUM($E$5:E68))</f>
        <v/>
      </c>
      <c r="G68" s="33" t="str">
        <f aca="false">IF(OR(A68="",AND(A68=A67)),"",SUMIFS($D$5:$D$504,$A$5:$A$504,A68))</f>
        <v/>
      </c>
      <c r="H68" s="33" t="str">
        <f aca="false">IF(OR(A68="",AND(A68=A67)),"",SUMIFS($E$5:$E$504,$A$5:$A$504,A68))</f>
        <v/>
      </c>
      <c r="I68" s="29"/>
      <c r="J68" s="34"/>
      <c r="K68" s="35"/>
    </row>
    <row r="69" customFormat="false" ht="15" hidden="false" customHeight="false" outlineLevel="0" collapsed="false">
      <c r="A69" s="32"/>
      <c r="B69" s="29"/>
      <c r="C69" s="29"/>
      <c r="D69" s="25"/>
      <c r="E69" s="25"/>
      <c r="F69" s="18" t="str">
        <f aca="false">IF(AND(D69="",E69=""),"",'Danh mục'!$F$5+SUM($D$5:D69)-SUM($E$5:E69))</f>
        <v/>
      </c>
      <c r="G69" s="33" t="str">
        <f aca="false">IF(OR(A69="",AND(A69=A68)),"",SUMIFS($D$5:$D$504,$A$5:$A$504,A69))</f>
        <v/>
      </c>
      <c r="H69" s="33" t="str">
        <f aca="false">IF(OR(A69="",AND(A69=A68)),"",SUMIFS($E$5:$E$504,$A$5:$A$504,A69))</f>
        <v/>
      </c>
      <c r="I69" s="29"/>
      <c r="J69" s="34"/>
      <c r="K69" s="35"/>
    </row>
    <row r="70" customFormat="false" ht="15" hidden="false" customHeight="false" outlineLevel="0" collapsed="false">
      <c r="A70" s="32"/>
      <c r="B70" s="29"/>
      <c r="C70" s="29"/>
      <c r="D70" s="25"/>
      <c r="E70" s="25"/>
      <c r="F70" s="18" t="str">
        <f aca="false">IF(AND(D70="",E70=""),"",'Danh mục'!$F$5+SUM($D$5:D70)-SUM($E$5:E70))</f>
        <v/>
      </c>
      <c r="G70" s="33" t="str">
        <f aca="false">IF(OR(A70="",AND(A70=A69)),"",SUMIFS($D$5:$D$504,$A$5:$A$504,A70))</f>
        <v/>
      </c>
      <c r="H70" s="33" t="str">
        <f aca="false">IF(OR(A70="",AND(A70=A69)),"",SUMIFS($E$5:$E$504,$A$5:$A$504,A70))</f>
        <v/>
      </c>
      <c r="I70" s="29"/>
      <c r="J70" s="34"/>
      <c r="K70" s="35"/>
    </row>
    <row r="71" customFormat="false" ht="15" hidden="false" customHeight="false" outlineLevel="0" collapsed="false">
      <c r="A71" s="32"/>
      <c r="B71" s="29"/>
      <c r="C71" s="29"/>
      <c r="D71" s="25"/>
      <c r="E71" s="25"/>
      <c r="F71" s="18" t="str">
        <f aca="false">IF(AND(D71="",E71=""),"",'Danh mục'!$F$5+SUM($D$5:D71)-SUM($E$5:E71))</f>
        <v/>
      </c>
      <c r="G71" s="33" t="str">
        <f aca="false">IF(OR(A71="",AND(A71=A70)),"",SUMIFS($D$5:$D$504,$A$5:$A$504,A71))</f>
        <v/>
      </c>
      <c r="H71" s="33" t="str">
        <f aca="false">IF(OR(A71="",AND(A71=A70)),"",SUMIFS($E$5:$E$504,$A$5:$A$504,A71))</f>
        <v/>
      </c>
      <c r="I71" s="29"/>
      <c r="J71" s="34"/>
      <c r="K71" s="35"/>
    </row>
    <row r="72" customFormat="false" ht="15" hidden="false" customHeight="false" outlineLevel="0" collapsed="false">
      <c r="A72" s="32"/>
      <c r="B72" s="29"/>
      <c r="C72" s="29"/>
      <c r="D72" s="25"/>
      <c r="E72" s="25"/>
      <c r="F72" s="18" t="str">
        <f aca="false">IF(AND(D72="",E72=""),"",'Danh mục'!$F$5+SUM($D$5:D72)-SUM($E$5:E72))</f>
        <v/>
      </c>
      <c r="G72" s="33" t="str">
        <f aca="false">IF(OR(A72="",AND(A72=A71)),"",SUMIFS($D$5:$D$504,$A$5:$A$504,A72))</f>
        <v/>
      </c>
      <c r="H72" s="33" t="str">
        <f aca="false">IF(OR(A72="",AND(A72=A71)),"",SUMIFS($E$5:$E$504,$A$5:$A$504,A72))</f>
        <v/>
      </c>
      <c r="I72" s="29"/>
      <c r="J72" s="34"/>
      <c r="K72" s="35"/>
    </row>
    <row r="73" customFormat="false" ht="15" hidden="false" customHeight="false" outlineLevel="0" collapsed="false">
      <c r="A73" s="32"/>
      <c r="B73" s="29"/>
      <c r="C73" s="29"/>
      <c r="D73" s="25"/>
      <c r="E73" s="25"/>
      <c r="F73" s="18" t="str">
        <f aca="false">IF(AND(D73="",E73=""),"",'Danh mục'!$F$5+SUM($D$5:D73)-SUM($E$5:E73))</f>
        <v/>
      </c>
      <c r="G73" s="33" t="str">
        <f aca="false">IF(OR(A73="",AND(A73=A72)),"",SUMIFS($D$5:$D$504,$A$5:$A$504,A73))</f>
        <v/>
      </c>
      <c r="H73" s="33" t="str">
        <f aca="false">IF(OR(A73="",AND(A73=A72)),"",SUMIFS($E$5:$E$504,$A$5:$A$504,A73))</f>
        <v/>
      </c>
      <c r="I73" s="29"/>
      <c r="J73" s="34"/>
      <c r="K73" s="35"/>
    </row>
    <row r="74" customFormat="false" ht="15" hidden="false" customHeight="false" outlineLevel="0" collapsed="false">
      <c r="A74" s="32"/>
      <c r="B74" s="29"/>
      <c r="C74" s="29"/>
      <c r="D74" s="25"/>
      <c r="E74" s="25"/>
      <c r="F74" s="18" t="str">
        <f aca="false">IF(AND(D74="",E74=""),"",'Danh mục'!$F$5+SUM($D$5:D74)-SUM($E$5:E74))</f>
        <v/>
      </c>
      <c r="G74" s="33" t="str">
        <f aca="false">IF(OR(A74="",AND(A74=A73)),"",SUMIFS($D$5:$D$504,$A$5:$A$504,A74))</f>
        <v/>
      </c>
      <c r="H74" s="33" t="str">
        <f aca="false">IF(OR(A74="",AND(A74=A73)),"",SUMIFS($E$5:$E$504,$A$5:$A$504,A74))</f>
        <v/>
      </c>
      <c r="I74" s="29"/>
      <c r="J74" s="34"/>
      <c r="K74" s="35"/>
    </row>
    <row r="75" customFormat="false" ht="15" hidden="false" customHeight="false" outlineLevel="0" collapsed="false">
      <c r="A75" s="32"/>
      <c r="B75" s="29"/>
      <c r="C75" s="29"/>
      <c r="D75" s="25"/>
      <c r="E75" s="25"/>
      <c r="F75" s="18" t="str">
        <f aca="false">IF(AND(D75="",E75=""),"",'Danh mục'!$F$5+SUM($D$5:D75)-SUM($E$5:E75))</f>
        <v/>
      </c>
      <c r="G75" s="33" t="str">
        <f aca="false">IF(OR(A75="",AND(A75=A74)),"",SUMIFS($D$5:$D$504,$A$5:$A$504,A75))</f>
        <v/>
      </c>
      <c r="H75" s="33" t="str">
        <f aca="false">IF(OR(A75="",AND(A75=A74)),"",SUMIFS($E$5:$E$504,$A$5:$A$504,A75))</f>
        <v/>
      </c>
      <c r="I75" s="29"/>
      <c r="J75" s="34"/>
      <c r="K75" s="35"/>
    </row>
    <row r="76" customFormat="false" ht="15" hidden="false" customHeight="false" outlineLevel="0" collapsed="false">
      <c r="A76" s="32"/>
      <c r="B76" s="29"/>
      <c r="C76" s="29"/>
      <c r="D76" s="25"/>
      <c r="E76" s="25"/>
      <c r="F76" s="18" t="str">
        <f aca="false">IF(AND(D76="",E76=""),"",'Danh mục'!$F$5+SUM($D$5:D76)-SUM($E$5:E76))</f>
        <v/>
      </c>
      <c r="G76" s="33" t="str">
        <f aca="false">IF(OR(A76="",AND(A76=A75)),"",SUMIFS($D$5:$D$504,$A$5:$A$504,A76))</f>
        <v/>
      </c>
      <c r="H76" s="33" t="str">
        <f aca="false">IF(OR(A76="",AND(A76=A75)),"",SUMIFS($E$5:$E$504,$A$5:$A$504,A76))</f>
        <v/>
      </c>
      <c r="I76" s="29"/>
      <c r="J76" s="34"/>
      <c r="K76" s="35"/>
    </row>
    <row r="77" customFormat="false" ht="15" hidden="false" customHeight="false" outlineLevel="0" collapsed="false">
      <c r="A77" s="32"/>
      <c r="B77" s="29"/>
      <c r="C77" s="29"/>
      <c r="D77" s="25"/>
      <c r="E77" s="25"/>
      <c r="F77" s="18" t="str">
        <f aca="false">IF(AND(D77="",E77=""),"",'Danh mục'!$F$5+SUM($D$5:D77)-SUM($E$5:E77))</f>
        <v/>
      </c>
      <c r="G77" s="33" t="str">
        <f aca="false">IF(OR(A77="",AND(A77=A76)),"",SUMIFS($D$5:$D$504,$A$5:$A$504,A77))</f>
        <v/>
      </c>
      <c r="H77" s="33" t="str">
        <f aca="false">IF(OR(A77="",AND(A77=A76)),"",SUMIFS($E$5:$E$504,$A$5:$A$504,A77))</f>
        <v/>
      </c>
      <c r="I77" s="29"/>
      <c r="J77" s="34"/>
      <c r="K77" s="35"/>
    </row>
    <row r="78" customFormat="false" ht="15" hidden="false" customHeight="false" outlineLevel="0" collapsed="false">
      <c r="A78" s="32"/>
      <c r="B78" s="29"/>
      <c r="C78" s="29"/>
      <c r="D78" s="25"/>
      <c r="E78" s="25"/>
      <c r="F78" s="18" t="str">
        <f aca="false">IF(AND(D78="",E78=""),"",'Danh mục'!$F$5+SUM($D$5:D78)-SUM($E$5:E78))</f>
        <v/>
      </c>
      <c r="G78" s="33" t="str">
        <f aca="false">IF(OR(A78="",AND(A78=A77)),"",SUMIFS($D$5:$D$504,$A$5:$A$504,A78))</f>
        <v/>
      </c>
      <c r="H78" s="33" t="str">
        <f aca="false">IF(OR(A78="",AND(A78=A77)),"",SUMIFS($E$5:$E$504,$A$5:$A$504,A78))</f>
        <v/>
      </c>
      <c r="I78" s="29"/>
      <c r="J78" s="34"/>
      <c r="K78" s="35"/>
    </row>
    <row r="79" customFormat="false" ht="15" hidden="false" customHeight="false" outlineLevel="0" collapsed="false">
      <c r="A79" s="32"/>
      <c r="B79" s="29"/>
      <c r="C79" s="29"/>
      <c r="D79" s="25"/>
      <c r="E79" s="25"/>
      <c r="F79" s="18" t="str">
        <f aca="false">IF(AND(D79="",E79=""),"",'Danh mục'!$F$5+SUM($D$5:D79)-SUM($E$5:E79))</f>
        <v/>
      </c>
      <c r="G79" s="33" t="str">
        <f aca="false">IF(OR(A79="",AND(A79=A78)),"",SUMIFS($D$5:$D$504,$A$5:$A$504,A79))</f>
        <v/>
      </c>
      <c r="H79" s="33" t="str">
        <f aca="false">IF(OR(A79="",AND(A79=A78)),"",SUMIFS($E$5:$E$504,$A$5:$A$504,A79))</f>
        <v/>
      </c>
      <c r="I79" s="29"/>
      <c r="J79" s="34"/>
      <c r="K79" s="35"/>
    </row>
    <row r="80" customFormat="false" ht="15" hidden="false" customHeight="false" outlineLevel="0" collapsed="false">
      <c r="A80" s="32"/>
      <c r="B80" s="29"/>
      <c r="C80" s="29"/>
      <c r="D80" s="25"/>
      <c r="E80" s="25"/>
      <c r="F80" s="18" t="str">
        <f aca="false">IF(AND(D80="",E80=""),"",'Danh mục'!$F$5+SUM($D$5:D80)-SUM($E$5:E80))</f>
        <v/>
      </c>
      <c r="G80" s="33" t="str">
        <f aca="false">IF(OR(A80="",AND(A80=A79)),"",SUMIFS($D$5:$D$504,$A$5:$A$504,A80))</f>
        <v/>
      </c>
      <c r="H80" s="33" t="str">
        <f aca="false">IF(OR(A80="",AND(A80=A79)),"",SUMIFS($E$5:$E$504,$A$5:$A$504,A80))</f>
        <v/>
      </c>
      <c r="I80" s="29"/>
      <c r="J80" s="34"/>
      <c r="K80" s="35"/>
    </row>
    <row r="81" customFormat="false" ht="15" hidden="false" customHeight="false" outlineLevel="0" collapsed="false">
      <c r="A81" s="32"/>
      <c r="B81" s="29"/>
      <c r="C81" s="29"/>
      <c r="D81" s="25"/>
      <c r="E81" s="25"/>
      <c r="F81" s="18" t="str">
        <f aca="false">IF(AND(D81="",E81=""),"",'Danh mục'!$F$5+SUM($D$5:D81)-SUM($E$5:E81))</f>
        <v/>
      </c>
      <c r="G81" s="33" t="str">
        <f aca="false">IF(OR(A81="",AND(A81=A80)),"",SUMIFS($D$5:$D$504,$A$5:$A$504,A81))</f>
        <v/>
      </c>
      <c r="H81" s="33" t="str">
        <f aca="false">IF(OR(A81="",AND(A81=A80)),"",SUMIFS($E$5:$E$504,$A$5:$A$504,A81))</f>
        <v/>
      </c>
      <c r="I81" s="29"/>
      <c r="J81" s="34"/>
      <c r="K81" s="35"/>
    </row>
    <row r="82" customFormat="false" ht="15" hidden="false" customHeight="false" outlineLevel="0" collapsed="false">
      <c r="A82" s="32"/>
      <c r="B82" s="29"/>
      <c r="C82" s="29"/>
      <c r="D82" s="25"/>
      <c r="E82" s="25"/>
      <c r="F82" s="18" t="str">
        <f aca="false">IF(AND(D82="",E82=""),"",'Danh mục'!$F$5+SUM($D$5:D82)-SUM($E$5:E82))</f>
        <v/>
      </c>
      <c r="G82" s="33" t="str">
        <f aca="false">IF(OR(A82="",AND(A82=A81)),"",SUMIFS($D$5:$D$504,$A$5:$A$504,A82))</f>
        <v/>
      </c>
      <c r="H82" s="33" t="str">
        <f aca="false">IF(OR(A82="",AND(A82=A81)),"",SUMIFS($E$5:$E$504,$A$5:$A$504,A82))</f>
        <v/>
      </c>
      <c r="I82" s="29"/>
      <c r="J82" s="34"/>
      <c r="K82" s="35"/>
    </row>
    <row r="83" customFormat="false" ht="15" hidden="false" customHeight="false" outlineLevel="0" collapsed="false">
      <c r="A83" s="32"/>
      <c r="B83" s="29"/>
      <c r="C83" s="29"/>
      <c r="D83" s="25"/>
      <c r="E83" s="25"/>
      <c r="F83" s="18" t="str">
        <f aca="false">IF(AND(D83="",E83=""),"",'Danh mục'!$F$5+SUM($D$5:D83)-SUM($E$5:E83))</f>
        <v/>
      </c>
      <c r="G83" s="33" t="str">
        <f aca="false">IF(OR(A83="",AND(A83=A82)),"",SUMIFS($D$5:$D$504,$A$5:$A$504,A83))</f>
        <v/>
      </c>
      <c r="H83" s="33" t="str">
        <f aca="false">IF(OR(A83="",AND(A83=A82)),"",SUMIFS($E$5:$E$504,$A$5:$A$504,A83))</f>
        <v/>
      </c>
      <c r="I83" s="29"/>
      <c r="J83" s="34"/>
      <c r="K83" s="35"/>
    </row>
    <row r="84" customFormat="false" ht="15" hidden="false" customHeight="false" outlineLevel="0" collapsed="false">
      <c r="A84" s="32"/>
      <c r="B84" s="29"/>
      <c r="C84" s="29"/>
      <c r="D84" s="25"/>
      <c r="E84" s="25"/>
      <c r="F84" s="18" t="str">
        <f aca="false">IF(AND(D84="",E84=""),"",'Danh mục'!$F$5+SUM($D$5:D84)-SUM($E$5:E84))</f>
        <v/>
      </c>
      <c r="G84" s="33" t="str">
        <f aca="false">IF(OR(A84="",AND(A84=A83)),"",SUMIFS($D$5:$D$504,$A$5:$A$504,A84))</f>
        <v/>
      </c>
      <c r="H84" s="33" t="str">
        <f aca="false">IF(OR(A84="",AND(A84=A83)),"",SUMIFS($E$5:$E$504,$A$5:$A$504,A84))</f>
        <v/>
      </c>
      <c r="I84" s="29"/>
      <c r="J84" s="34"/>
      <c r="K84" s="35"/>
    </row>
    <row r="85" customFormat="false" ht="15" hidden="false" customHeight="false" outlineLevel="0" collapsed="false">
      <c r="A85" s="32"/>
      <c r="B85" s="29"/>
      <c r="C85" s="29"/>
      <c r="D85" s="25"/>
      <c r="E85" s="25"/>
      <c r="F85" s="18" t="str">
        <f aca="false">IF(AND(D85="",E85=""),"",'Danh mục'!$F$5+SUM($D$5:D85)-SUM($E$5:E85))</f>
        <v/>
      </c>
      <c r="G85" s="33" t="str">
        <f aca="false">IF(OR(A85="",AND(A85=A84)),"",SUMIFS($D$5:$D$504,$A$5:$A$504,A85))</f>
        <v/>
      </c>
      <c r="H85" s="33" t="str">
        <f aca="false">IF(OR(A85="",AND(A85=A84)),"",SUMIFS($E$5:$E$504,$A$5:$A$504,A85))</f>
        <v/>
      </c>
      <c r="I85" s="29"/>
      <c r="J85" s="34"/>
      <c r="K85" s="35"/>
    </row>
    <row r="86" customFormat="false" ht="15" hidden="false" customHeight="false" outlineLevel="0" collapsed="false">
      <c r="A86" s="32"/>
      <c r="B86" s="29"/>
      <c r="C86" s="29"/>
      <c r="D86" s="25"/>
      <c r="E86" s="25"/>
      <c r="F86" s="18" t="str">
        <f aca="false">IF(AND(D86="",E86=""),"",'Danh mục'!$F$5+SUM($D$5:D86)-SUM($E$5:E86))</f>
        <v/>
      </c>
      <c r="G86" s="33" t="str">
        <f aca="false">IF(OR(A86="",AND(A86=A85)),"",SUMIFS($D$5:$D$504,$A$5:$A$504,A86))</f>
        <v/>
      </c>
      <c r="H86" s="33" t="str">
        <f aca="false">IF(OR(A86="",AND(A86=A85)),"",SUMIFS($E$5:$E$504,$A$5:$A$504,A86))</f>
        <v/>
      </c>
      <c r="I86" s="29"/>
      <c r="J86" s="34"/>
      <c r="K86" s="35"/>
    </row>
    <row r="87" customFormat="false" ht="15" hidden="false" customHeight="false" outlineLevel="0" collapsed="false">
      <c r="A87" s="32"/>
      <c r="B87" s="29"/>
      <c r="C87" s="29"/>
      <c r="D87" s="25"/>
      <c r="E87" s="25"/>
      <c r="F87" s="18" t="str">
        <f aca="false">IF(AND(D87="",E87=""),"",'Danh mục'!$F$5+SUM($D$5:D87)-SUM($E$5:E87))</f>
        <v/>
      </c>
      <c r="G87" s="33" t="str">
        <f aca="false">IF(OR(A87="",AND(A87=A86)),"",SUMIFS($D$5:$D$504,$A$5:$A$504,A87))</f>
        <v/>
      </c>
      <c r="H87" s="33" t="str">
        <f aca="false">IF(OR(A87="",AND(A87=A86)),"",SUMIFS($E$5:$E$504,$A$5:$A$504,A87))</f>
        <v/>
      </c>
      <c r="I87" s="29"/>
      <c r="J87" s="34"/>
      <c r="K87" s="35"/>
    </row>
    <row r="88" customFormat="false" ht="15" hidden="false" customHeight="false" outlineLevel="0" collapsed="false">
      <c r="A88" s="32"/>
      <c r="B88" s="29"/>
      <c r="C88" s="29"/>
      <c r="D88" s="25"/>
      <c r="E88" s="25"/>
      <c r="F88" s="18" t="str">
        <f aca="false">IF(AND(D88="",E88=""),"",'Danh mục'!$F$5+SUM($D$5:D88)-SUM($E$5:E88))</f>
        <v/>
      </c>
      <c r="G88" s="33" t="str">
        <f aca="false">IF(OR(A88="",AND(A88=A87)),"",SUMIFS($D$5:$D$504,$A$5:$A$504,A88))</f>
        <v/>
      </c>
      <c r="H88" s="33" t="str">
        <f aca="false">IF(OR(A88="",AND(A88=A87)),"",SUMIFS($E$5:$E$504,$A$5:$A$504,A88))</f>
        <v/>
      </c>
      <c r="I88" s="29"/>
      <c r="J88" s="34"/>
      <c r="K88" s="35"/>
    </row>
    <row r="89" customFormat="false" ht="15" hidden="false" customHeight="false" outlineLevel="0" collapsed="false">
      <c r="A89" s="32"/>
      <c r="B89" s="29"/>
      <c r="C89" s="29"/>
      <c r="D89" s="25"/>
      <c r="E89" s="25"/>
      <c r="F89" s="18" t="str">
        <f aca="false">IF(AND(D89="",E89=""),"",'Danh mục'!$F$5+SUM($D$5:D89)-SUM($E$5:E89))</f>
        <v/>
      </c>
      <c r="G89" s="33" t="str">
        <f aca="false">IF(OR(A89="",AND(A89=A88)),"",SUMIFS($D$5:$D$504,$A$5:$A$504,A89))</f>
        <v/>
      </c>
      <c r="H89" s="33" t="str">
        <f aca="false">IF(OR(A89="",AND(A89=A88)),"",SUMIFS($E$5:$E$504,$A$5:$A$504,A89))</f>
        <v/>
      </c>
      <c r="I89" s="29"/>
      <c r="J89" s="34"/>
      <c r="K89" s="35"/>
    </row>
    <row r="90" customFormat="false" ht="15" hidden="false" customHeight="false" outlineLevel="0" collapsed="false">
      <c r="A90" s="32"/>
      <c r="B90" s="29"/>
      <c r="C90" s="29"/>
      <c r="D90" s="25"/>
      <c r="E90" s="25"/>
      <c r="F90" s="18" t="str">
        <f aca="false">IF(AND(D90="",E90=""),"",'Danh mục'!$F$5+SUM($D$5:D90)-SUM($E$5:E90))</f>
        <v/>
      </c>
      <c r="G90" s="33" t="str">
        <f aca="false">IF(OR(A90="",AND(A90=A89)),"",SUMIFS($D$5:$D$504,$A$5:$A$504,A90))</f>
        <v/>
      </c>
      <c r="H90" s="33" t="str">
        <f aca="false">IF(OR(A90="",AND(A90=A89)),"",SUMIFS($E$5:$E$504,$A$5:$A$504,A90))</f>
        <v/>
      </c>
      <c r="I90" s="29"/>
      <c r="J90" s="34"/>
      <c r="K90" s="35"/>
    </row>
    <row r="91" customFormat="false" ht="15" hidden="false" customHeight="false" outlineLevel="0" collapsed="false">
      <c r="A91" s="32"/>
      <c r="B91" s="29"/>
      <c r="C91" s="29"/>
      <c r="D91" s="25"/>
      <c r="E91" s="25"/>
      <c r="F91" s="18" t="str">
        <f aca="false">IF(AND(D91="",E91=""),"",'Danh mục'!$F$5+SUM($D$5:D91)-SUM($E$5:E91))</f>
        <v/>
      </c>
      <c r="G91" s="33" t="str">
        <f aca="false">IF(OR(A91="",AND(A91=A90)),"",SUMIFS($D$5:$D$504,$A$5:$A$504,A91))</f>
        <v/>
      </c>
      <c r="H91" s="33" t="str">
        <f aca="false">IF(OR(A91="",AND(A91=A90)),"",SUMIFS($E$5:$E$504,$A$5:$A$504,A91))</f>
        <v/>
      </c>
      <c r="I91" s="29"/>
      <c r="J91" s="34"/>
      <c r="K91" s="35"/>
    </row>
    <row r="92" customFormat="false" ht="15" hidden="false" customHeight="false" outlineLevel="0" collapsed="false">
      <c r="A92" s="32"/>
      <c r="B92" s="29"/>
      <c r="C92" s="29"/>
      <c r="D92" s="25"/>
      <c r="E92" s="25"/>
      <c r="F92" s="18" t="str">
        <f aca="false">IF(AND(D92="",E92=""),"",'Danh mục'!$F$5+SUM($D$5:D92)-SUM($E$5:E92))</f>
        <v/>
      </c>
      <c r="G92" s="33" t="str">
        <f aca="false">IF(OR(A92="",AND(A92=A91)),"",SUMIFS($D$5:$D$504,$A$5:$A$504,A92))</f>
        <v/>
      </c>
      <c r="H92" s="33" t="str">
        <f aca="false">IF(OR(A92="",AND(A92=A91)),"",SUMIFS($E$5:$E$504,$A$5:$A$504,A92))</f>
        <v/>
      </c>
      <c r="I92" s="29"/>
      <c r="J92" s="34"/>
      <c r="K92" s="35"/>
    </row>
    <row r="93" customFormat="false" ht="15" hidden="false" customHeight="false" outlineLevel="0" collapsed="false">
      <c r="A93" s="32"/>
      <c r="B93" s="29"/>
      <c r="C93" s="29"/>
      <c r="D93" s="25"/>
      <c r="E93" s="25"/>
      <c r="F93" s="18" t="str">
        <f aca="false">IF(AND(D93="",E93=""),"",'Danh mục'!$F$5+SUM($D$5:D93)-SUM($E$5:E93))</f>
        <v/>
      </c>
      <c r="G93" s="33" t="str">
        <f aca="false">IF(OR(A93="",AND(A93=A92)),"",SUMIFS($D$5:$D$504,$A$5:$A$504,A93))</f>
        <v/>
      </c>
      <c r="H93" s="33" t="str">
        <f aca="false">IF(OR(A93="",AND(A93=A92)),"",SUMIFS($E$5:$E$504,$A$5:$A$504,A93))</f>
        <v/>
      </c>
      <c r="I93" s="29"/>
      <c r="J93" s="34"/>
      <c r="K93" s="35"/>
    </row>
    <row r="94" customFormat="false" ht="15" hidden="false" customHeight="false" outlineLevel="0" collapsed="false">
      <c r="A94" s="32"/>
      <c r="B94" s="29"/>
      <c r="C94" s="29"/>
      <c r="D94" s="25"/>
      <c r="E94" s="25"/>
      <c r="F94" s="18" t="str">
        <f aca="false">IF(AND(D94="",E94=""),"",'Danh mục'!$F$5+SUM($D$5:D94)-SUM($E$5:E94))</f>
        <v/>
      </c>
      <c r="G94" s="33" t="str">
        <f aca="false">IF(OR(A94="",AND(A94=A93)),"",SUMIFS($D$5:$D$504,$A$5:$A$504,A94))</f>
        <v/>
      </c>
      <c r="H94" s="33" t="str">
        <f aca="false">IF(OR(A94="",AND(A94=A93)),"",SUMIFS($E$5:$E$504,$A$5:$A$504,A94))</f>
        <v/>
      </c>
      <c r="I94" s="29"/>
      <c r="J94" s="34"/>
      <c r="K94" s="35"/>
    </row>
    <row r="95" customFormat="false" ht="15" hidden="false" customHeight="false" outlineLevel="0" collapsed="false">
      <c r="A95" s="32"/>
      <c r="B95" s="29"/>
      <c r="C95" s="29"/>
      <c r="D95" s="25"/>
      <c r="E95" s="25"/>
      <c r="F95" s="18" t="str">
        <f aca="false">IF(AND(D95="",E95=""),"",'Danh mục'!$F$5+SUM($D$5:D95)-SUM($E$5:E95))</f>
        <v/>
      </c>
      <c r="G95" s="33" t="str">
        <f aca="false">IF(OR(A95="",AND(A95=A94)),"",SUMIFS($D$5:$D$504,$A$5:$A$504,A95))</f>
        <v/>
      </c>
      <c r="H95" s="33" t="str">
        <f aca="false">IF(OR(A95="",AND(A95=A94)),"",SUMIFS($E$5:$E$504,$A$5:$A$504,A95))</f>
        <v/>
      </c>
      <c r="I95" s="29"/>
      <c r="J95" s="34"/>
      <c r="K95" s="35"/>
    </row>
    <row r="96" customFormat="false" ht="15" hidden="false" customHeight="false" outlineLevel="0" collapsed="false">
      <c r="A96" s="32"/>
      <c r="B96" s="29"/>
      <c r="C96" s="29"/>
      <c r="D96" s="25"/>
      <c r="E96" s="25"/>
      <c r="F96" s="18" t="str">
        <f aca="false">IF(AND(D96="",E96=""),"",'Danh mục'!$F$5+SUM($D$5:D96)-SUM($E$5:E96))</f>
        <v/>
      </c>
      <c r="G96" s="33" t="str">
        <f aca="false">IF(OR(A96="",AND(A96=A95)),"",SUMIFS($D$5:$D$504,$A$5:$A$504,A96))</f>
        <v/>
      </c>
      <c r="H96" s="33" t="str">
        <f aca="false">IF(OR(A96="",AND(A96=A95)),"",SUMIFS($E$5:$E$504,$A$5:$A$504,A96))</f>
        <v/>
      </c>
      <c r="I96" s="29"/>
      <c r="J96" s="34"/>
      <c r="K96" s="35"/>
    </row>
    <row r="97" customFormat="false" ht="15" hidden="false" customHeight="false" outlineLevel="0" collapsed="false">
      <c r="A97" s="32"/>
      <c r="B97" s="29"/>
      <c r="C97" s="29"/>
      <c r="D97" s="25"/>
      <c r="E97" s="25"/>
      <c r="F97" s="18" t="str">
        <f aca="false">IF(AND(D97="",E97=""),"",'Danh mục'!$F$5+SUM($D$5:D97)-SUM($E$5:E97))</f>
        <v/>
      </c>
      <c r="G97" s="33" t="str">
        <f aca="false">IF(OR(A97="",AND(A97=A96)),"",SUMIFS($D$5:$D$504,$A$5:$A$504,A97))</f>
        <v/>
      </c>
      <c r="H97" s="33" t="str">
        <f aca="false">IF(OR(A97="",AND(A97=A96)),"",SUMIFS($E$5:$E$504,$A$5:$A$504,A97))</f>
        <v/>
      </c>
      <c r="I97" s="29"/>
      <c r="J97" s="34"/>
      <c r="K97" s="35"/>
    </row>
    <row r="98" customFormat="false" ht="15" hidden="false" customHeight="false" outlineLevel="0" collapsed="false">
      <c r="A98" s="32"/>
      <c r="B98" s="29"/>
      <c r="C98" s="29"/>
      <c r="D98" s="25"/>
      <c r="E98" s="25"/>
      <c r="F98" s="18" t="str">
        <f aca="false">IF(AND(D98="",E98=""),"",'Danh mục'!$F$5+SUM($D$5:D98)-SUM($E$5:E98))</f>
        <v/>
      </c>
      <c r="G98" s="33" t="str">
        <f aca="false">IF(OR(A98="",AND(A98=A97)),"",SUMIFS($D$5:$D$504,$A$5:$A$504,A98))</f>
        <v/>
      </c>
      <c r="H98" s="33" t="str">
        <f aca="false">IF(OR(A98="",AND(A98=A97)),"",SUMIFS($E$5:$E$504,$A$5:$A$504,A98))</f>
        <v/>
      </c>
      <c r="I98" s="29"/>
      <c r="J98" s="34"/>
      <c r="K98" s="35"/>
    </row>
    <row r="99" customFormat="false" ht="15" hidden="false" customHeight="false" outlineLevel="0" collapsed="false">
      <c r="A99" s="32"/>
      <c r="B99" s="29"/>
      <c r="C99" s="29"/>
      <c r="D99" s="25"/>
      <c r="E99" s="25"/>
      <c r="F99" s="18" t="str">
        <f aca="false">IF(AND(D99="",E99=""),"",'Danh mục'!$F$5+SUM($D$5:D99)-SUM($E$5:E99))</f>
        <v/>
      </c>
      <c r="G99" s="33" t="str">
        <f aca="false">IF(OR(A99="",AND(A99=A98)),"",SUMIFS($D$5:$D$504,$A$5:$A$504,A99))</f>
        <v/>
      </c>
      <c r="H99" s="33" t="str">
        <f aca="false">IF(OR(A99="",AND(A99=A98)),"",SUMIFS($E$5:$E$504,$A$5:$A$504,A99))</f>
        <v/>
      </c>
      <c r="I99" s="29"/>
      <c r="J99" s="34"/>
      <c r="K99" s="35"/>
    </row>
    <row r="100" customFormat="false" ht="15" hidden="false" customHeight="false" outlineLevel="0" collapsed="false">
      <c r="A100" s="32"/>
      <c r="B100" s="29"/>
      <c r="C100" s="29"/>
      <c r="D100" s="25"/>
      <c r="E100" s="25"/>
      <c r="F100" s="18" t="str">
        <f aca="false">IF(AND(D100="",E100=""),"",'Danh mục'!$F$5+SUM($D$5:D100)-SUM($E$5:E100))</f>
        <v/>
      </c>
      <c r="G100" s="33" t="str">
        <f aca="false">IF(OR(A100="",AND(A100=A99)),"",SUMIFS($D$5:$D$504,$A$5:$A$504,A100))</f>
        <v/>
      </c>
      <c r="H100" s="33" t="str">
        <f aca="false">IF(OR(A100="",AND(A100=A99)),"",SUMIFS($E$5:$E$504,$A$5:$A$504,A100))</f>
        <v/>
      </c>
      <c r="I100" s="29"/>
      <c r="J100" s="34"/>
      <c r="K100" s="35"/>
    </row>
    <row r="101" customFormat="false" ht="15" hidden="false" customHeight="false" outlineLevel="0" collapsed="false">
      <c r="A101" s="32"/>
      <c r="B101" s="29"/>
      <c r="C101" s="29"/>
      <c r="D101" s="25"/>
      <c r="E101" s="25"/>
      <c r="F101" s="18" t="str">
        <f aca="false">IF(AND(D101="",E101=""),"",'Danh mục'!$F$5+SUM($D$5:D101)-SUM($E$5:E101))</f>
        <v/>
      </c>
      <c r="G101" s="33" t="str">
        <f aca="false">IF(OR(A101="",AND(A101=A100)),"",SUMIFS($D$5:$D$504,$A$5:$A$504,A101))</f>
        <v/>
      </c>
      <c r="H101" s="33" t="str">
        <f aca="false">IF(OR(A101="",AND(A101=A100)),"",SUMIFS($E$5:$E$504,$A$5:$A$504,A101))</f>
        <v/>
      </c>
      <c r="I101" s="29"/>
      <c r="J101" s="34"/>
      <c r="K101" s="35"/>
    </row>
    <row r="102" customFormat="false" ht="15" hidden="false" customHeight="false" outlineLevel="0" collapsed="false">
      <c r="A102" s="32"/>
      <c r="B102" s="29"/>
      <c r="C102" s="29"/>
      <c r="D102" s="25"/>
      <c r="E102" s="25"/>
      <c r="F102" s="18" t="str">
        <f aca="false">IF(AND(D102="",E102=""),"",'Danh mục'!$F$5+SUM($D$5:D102)-SUM($E$5:E102))</f>
        <v/>
      </c>
      <c r="G102" s="33" t="str">
        <f aca="false">IF(OR(A102="",AND(A102=A101)),"",SUMIFS($D$5:$D$504,$A$5:$A$504,A102))</f>
        <v/>
      </c>
      <c r="H102" s="33" t="str">
        <f aca="false">IF(OR(A102="",AND(A102=A101)),"",SUMIFS($E$5:$E$504,$A$5:$A$504,A102))</f>
        <v/>
      </c>
      <c r="I102" s="29"/>
      <c r="J102" s="34"/>
      <c r="K102" s="35"/>
    </row>
    <row r="103" customFormat="false" ht="15" hidden="false" customHeight="false" outlineLevel="0" collapsed="false">
      <c r="A103" s="32"/>
      <c r="B103" s="29"/>
      <c r="C103" s="29"/>
      <c r="D103" s="25"/>
      <c r="E103" s="25"/>
      <c r="F103" s="18" t="str">
        <f aca="false">IF(AND(D103="",E103=""),"",'Danh mục'!$F$5+SUM($D$5:D103)-SUM($E$5:E103))</f>
        <v/>
      </c>
      <c r="G103" s="33" t="str">
        <f aca="false">IF(OR(A103="",AND(A103=A102)),"",SUMIFS($D$5:$D$504,$A$5:$A$504,A103))</f>
        <v/>
      </c>
      <c r="H103" s="33" t="str">
        <f aca="false">IF(OR(A103="",AND(A103=A102)),"",SUMIFS($E$5:$E$504,$A$5:$A$504,A103))</f>
        <v/>
      </c>
      <c r="I103" s="29"/>
      <c r="J103" s="34"/>
      <c r="K103" s="35"/>
    </row>
    <row r="104" customFormat="false" ht="15" hidden="false" customHeight="false" outlineLevel="0" collapsed="false">
      <c r="A104" s="32"/>
      <c r="B104" s="29"/>
      <c r="C104" s="29"/>
      <c r="D104" s="25"/>
      <c r="E104" s="25"/>
      <c r="F104" s="18" t="str">
        <f aca="false">IF(AND(D104="",E104=""),"",'Danh mục'!$F$5+SUM($D$5:D104)-SUM($E$5:E104))</f>
        <v/>
      </c>
      <c r="G104" s="33" t="str">
        <f aca="false">IF(OR(A104="",AND(A104=A103)),"",SUMIFS($D$5:$D$504,$A$5:$A$504,A104))</f>
        <v/>
      </c>
      <c r="H104" s="33" t="str">
        <f aca="false">IF(OR(A104="",AND(A104=A103)),"",SUMIFS($E$5:$E$504,$A$5:$A$504,A104))</f>
        <v/>
      </c>
      <c r="I104" s="29"/>
      <c r="J104" s="34"/>
      <c r="K104" s="35"/>
    </row>
    <row r="105" customFormat="false" ht="15" hidden="false" customHeight="false" outlineLevel="0" collapsed="false">
      <c r="A105" s="32"/>
      <c r="B105" s="29"/>
      <c r="C105" s="29"/>
      <c r="D105" s="25"/>
      <c r="E105" s="25"/>
      <c r="F105" s="18" t="str">
        <f aca="false">IF(AND(D105="",E105=""),"",'Danh mục'!$F$5+SUM($D$5:D105)-SUM($E$5:E105))</f>
        <v/>
      </c>
      <c r="G105" s="33" t="str">
        <f aca="false">IF(OR(A105="",AND(A105=A104)),"",SUMIFS($D$5:$D$504,$A$5:$A$504,A105))</f>
        <v/>
      </c>
      <c r="H105" s="33" t="str">
        <f aca="false">IF(OR(A105="",AND(A105=A104)),"",SUMIFS($E$5:$E$504,$A$5:$A$504,A105))</f>
        <v/>
      </c>
      <c r="I105" s="29"/>
      <c r="J105" s="34"/>
      <c r="K105" s="35"/>
    </row>
    <row r="106" customFormat="false" ht="15" hidden="false" customHeight="false" outlineLevel="0" collapsed="false">
      <c r="A106" s="32"/>
      <c r="B106" s="29"/>
      <c r="C106" s="29"/>
      <c r="D106" s="25"/>
      <c r="E106" s="25"/>
      <c r="F106" s="18" t="str">
        <f aca="false">IF(AND(D106="",E106=""),"",'Danh mục'!$F$5+SUM($D$5:D106)-SUM($E$5:E106))</f>
        <v/>
      </c>
      <c r="G106" s="33" t="str">
        <f aca="false">IF(OR(A106="",AND(A106=A105)),"",SUMIFS($D$5:$D$504,$A$5:$A$504,A106))</f>
        <v/>
      </c>
      <c r="H106" s="33" t="str">
        <f aca="false">IF(OR(A106="",AND(A106=A105)),"",SUMIFS($E$5:$E$504,$A$5:$A$504,A106))</f>
        <v/>
      </c>
      <c r="I106" s="29"/>
      <c r="J106" s="34"/>
      <c r="K106" s="35"/>
    </row>
    <row r="107" customFormat="false" ht="15" hidden="false" customHeight="false" outlineLevel="0" collapsed="false">
      <c r="A107" s="32"/>
      <c r="B107" s="29"/>
      <c r="C107" s="29"/>
      <c r="D107" s="25"/>
      <c r="E107" s="25"/>
      <c r="F107" s="18" t="str">
        <f aca="false">IF(AND(D107="",E107=""),"",'Danh mục'!$F$5+SUM($D$5:D107)-SUM($E$5:E107))</f>
        <v/>
      </c>
      <c r="G107" s="33" t="str">
        <f aca="false">IF(OR(A107="",AND(A107=A106)),"",SUMIFS($D$5:$D$504,$A$5:$A$504,A107))</f>
        <v/>
      </c>
      <c r="H107" s="33" t="str">
        <f aca="false">IF(OR(A107="",AND(A107=A106)),"",SUMIFS($E$5:$E$504,$A$5:$A$504,A107))</f>
        <v/>
      </c>
      <c r="I107" s="29"/>
      <c r="J107" s="34"/>
      <c r="K107" s="35"/>
    </row>
    <row r="108" customFormat="false" ht="15" hidden="false" customHeight="false" outlineLevel="0" collapsed="false">
      <c r="A108" s="32"/>
      <c r="B108" s="29"/>
      <c r="C108" s="29"/>
      <c r="D108" s="25"/>
      <c r="E108" s="25"/>
      <c r="F108" s="18" t="str">
        <f aca="false">IF(AND(D108="",E108=""),"",'Danh mục'!$F$5+SUM($D$5:D108)-SUM($E$5:E108))</f>
        <v/>
      </c>
      <c r="G108" s="33" t="str">
        <f aca="false">IF(OR(A108="",AND(A108=A107)),"",SUMIFS($D$5:$D$504,$A$5:$A$504,A108))</f>
        <v/>
      </c>
      <c r="H108" s="33" t="str">
        <f aca="false">IF(OR(A108="",AND(A108=A107)),"",SUMIFS($E$5:$E$504,$A$5:$A$504,A108))</f>
        <v/>
      </c>
      <c r="I108" s="29"/>
      <c r="J108" s="34"/>
      <c r="K108" s="35"/>
    </row>
    <row r="109" customFormat="false" ht="15" hidden="false" customHeight="false" outlineLevel="0" collapsed="false">
      <c r="A109" s="32"/>
      <c r="B109" s="29"/>
      <c r="C109" s="29"/>
      <c r="D109" s="25"/>
      <c r="E109" s="25"/>
      <c r="F109" s="18" t="str">
        <f aca="false">IF(AND(D109="",E109=""),"",'Danh mục'!$F$5+SUM($D$5:D109)-SUM($E$5:E109))</f>
        <v/>
      </c>
      <c r="G109" s="33" t="str">
        <f aca="false">IF(OR(A109="",AND(A109=A108)),"",SUMIFS($D$5:$D$504,$A$5:$A$504,A109))</f>
        <v/>
      </c>
      <c r="H109" s="33" t="str">
        <f aca="false">IF(OR(A109="",AND(A109=A108)),"",SUMIFS($E$5:$E$504,$A$5:$A$504,A109))</f>
        <v/>
      </c>
      <c r="I109" s="29"/>
      <c r="J109" s="34"/>
      <c r="K109" s="35"/>
    </row>
    <row r="110" customFormat="false" ht="15" hidden="false" customHeight="false" outlineLevel="0" collapsed="false">
      <c r="A110" s="32"/>
      <c r="B110" s="29"/>
      <c r="C110" s="29"/>
      <c r="D110" s="25"/>
      <c r="E110" s="25"/>
      <c r="F110" s="18" t="str">
        <f aca="false">IF(AND(D110="",E110=""),"",'Danh mục'!$F$5+SUM($D$5:D110)-SUM($E$5:E110))</f>
        <v/>
      </c>
      <c r="G110" s="33" t="str">
        <f aca="false">IF(OR(A110="",AND(A110=A109)),"",SUMIFS($D$5:$D$504,$A$5:$A$504,A110))</f>
        <v/>
      </c>
      <c r="H110" s="33" t="str">
        <f aca="false">IF(OR(A110="",AND(A110=A109)),"",SUMIFS($E$5:$E$504,$A$5:$A$504,A110))</f>
        <v/>
      </c>
      <c r="I110" s="29"/>
      <c r="J110" s="34"/>
      <c r="K110" s="35"/>
    </row>
    <row r="111" customFormat="false" ht="15" hidden="false" customHeight="false" outlineLevel="0" collapsed="false">
      <c r="A111" s="32"/>
      <c r="B111" s="29"/>
      <c r="C111" s="29"/>
      <c r="D111" s="25"/>
      <c r="E111" s="25"/>
      <c r="F111" s="18" t="str">
        <f aca="false">IF(AND(D111="",E111=""),"",'Danh mục'!$F$5+SUM($D$5:D111)-SUM($E$5:E111))</f>
        <v/>
      </c>
      <c r="G111" s="33" t="str">
        <f aca="false">IF(OR(A111="",AND(A111=A110)),"",SUMIFS($D$5:$D$504,$A$5:$A$504,A111))</f>
        <v/>
      </c>
      <c r="H111" s="33" t="str">
        <f aca="false">IF(OR(A111="",AND(A111=A110)),"",SUMIFS($E$5:$E$504,$A$5:$A$504,A111))</f>
        <v/>
      </c>
      <c r="I111" s="29"/>
      <c r="J111" s="34"/>
      <c r="K111" s="35"/>
    </row>
    <row r="112" customFormat="false" ht="15" hidden="false" customHeight="false" outlineLevel="0" collapsed="false">
      <c r="A112" s="32"/>
      <c r="B112" s="29"/>
      <c r="C112" s="29"/>
      <c r="D112" s="25"/>
      <c r="E112" s="25"/>
      <c r="F112" s="18" t="str">
        <f aca="false">IF(AND(D112="",E112=""),"",'Danh mục'!$F$5+SUM($D$5:D112)-SUM($E$5:E112))</f>
        <v/>
      </c>
      <c r="G112" s="33" t="str">
        <f aca="false">IF(OR(A112="",AND(A112=A111)),"",SUMIFS($D$5:$D$504,$A$5:$A$504,A112))</f>
        <v/>
      </c>
      <c r="H112" s="33" t="str">
        <f aca="false">IF(OR(A112="",AND(A112=A111)),"",SUMIFS($E$5:$E$504,$A$5:$A$504,A112))</f>
        <v/>
      </c>
      <c r="I112" s="29"/>
      <c r="J112" s="34"/>
      <c r="K112" s="35"/>
    </row>
    <row r="113" customFormat="false" ht="15" hidden="false" customHeight="false" outlineLevel="0" collapsed="false">
      <c r="A113" s="32"/>
      <c r="B113" s="29"/>
      <c r="C113" s="29"/>
      <c r="D113" s="25"/>
      <c r="E113" s="25"/>
      <c r="F113" s="18" t="str">
        <f aca="false">IF(AND(D113="",E113=""),"",'Danh mục'!$F$5+SUM($D$5:D113)-SUM($E$5:E113))</f>
        <v/>
      </c>
      <c r="G113" s="33" t="str">
        <f aca="false">IF(OR(A113="",AND(A113=A112)),"",SUMIFS($D$5:$D$504,$A$5:$A$504,A113))</f>
        <v/>
      </c>
      <c r="H113" s="33" t="str">
        <f aca="false">IF(OR(A113="",AND(A113=A112)),"",SUMIFS($E$5:$E$504,$A$5:$A$504,A113))</f>
        <v/>
      </c>
      <c r="I113" s="29"/>
      <c r="J113" s="34"/>
      <c r="K113" s="35"/>
    </row>
    <row r="114" customFormat="false" ht="15" hidden="false" customHeight="false" outlineLevel="0" collapsed="false">
      <c r="A114" s="32"/>
      <c r="B114" s="29"/>
      <c r="C114" s="29"/>
      <c r="D114" s="25"/>
      <c r="E114" s="25"/>
      <c r="F114" s="18" t="str">
        <f aca="false">IF(AND(D114="",E114=""),"",'Danh mục'!$F$5+SUM($D$5:D114)-SUM($E$5:E114))</f>
        <v/>
      </c>
      <c r="G114" s="33" t="str">
        <f aca="false">IF(OR(A114="",AND(A114=A113)),"",SUMIFS($D$5:$D$504,$A$5:$A$504,A114))</f>
        <v/>
      </c>
      <c r="H114" s="33" t="str">
        <f aca="false">IF(OR(A114="",AND(A114=A113)),"",SUMIFS($E$5:$E$504,$A$5:$A$504,A114))</f>
        <v/>
      </c>
      <c r="I114" s="29"/>
      <c r="J114" s="34"/>
      <c r="K114" s="35"/>
    </row>
    <row r="115" customFormat="false" ht="15" hidden="false" customHeight="false" outlineLevel="0" collapsed="false">
      <c r="A115" s="32"/>
      <c r="B115" s="29"/>
      <c r="C115" s="29"/>
      <c r="D115" s="25"/>
      <c r="E115" s="25"/>
      <c r="F115" s="18" t="str">
        <f aca="false">IF(AND(D115="",E115=""),"",'Danh mục'!$F$5+SUM($D$5:D115)-SUM($E$5:E115))</f>
        <v/>
      </c>
      <c r="G115" s="33" t="str">
        <f aca="false">IF(OR(A115="",AND(A115=A114)),"",SUMIFS($D$5:$D$504,$A$5:$A$504,A115))</f>
        <v/>
      </c>
      <c r="H115" s="33" t="str">
        <f aca="false">IF(OR(A115="",AND(A115=A114)),"",SUMIFS($E$5:$E$504,$A$5:$A$504,A115))</f>
        <v/>
      </c>
      <c r="I115" s="29"/>
      <c r="J115" s="34"/>
      <c r="K115" s="35"/>
    </row>
    <row r="116" customFormat="false" ht="15" hidden="false" customHeight="false" outlineLevel="0" collapsed="false">
      <c r="A116" s="32"/>
      <c r="B116" s="29"/>
      <c r="C116" s="29"/>
      <c r="D116" s="25"/>
      <c r="E116" s="25"/>
      <c r="F116" s="18" t="str">
        <f aca="false">IF(AND(D116="",E116=""),"",'Danh mục'!$F$5+SUM($D$5:D116)-SUM($E$5:E116))</f>
        <v/>
      </c>
      <c r="G116" s="33" t="str">
        <f aca="false">IF(OR(A116="",AND(A116=A115)),"",SUMIFS($D$5:$D$504,$A$5:$A$504,A116))</f>
        <v/>
      </c>
      <c r="H116" s="33" t="str">
        <f aca="false">IF(OR(A116="",AND(A116=A115)),"",SUMIFS($E$5:$E$504,$A$5:$A$504,A116))</f>
        <v/>
      </c>
      <c r="I116" s="29"/>
      <c r="J116" s="34"/>
      <c r="K116" s="35"/>
    </row>
    <row r="117" customFormat="false" ht="15" hidden="false" customHeight="false" outlineLevel="0" collapsed="false">
      <c r="A117" s="32"/>
      <c r="B117" s="29"/>
      <c r="C117" s="29"/>
      <c r="D117" s="25"/>
      <c r="E117" s="25"/>
      <c r="F117" s="18" t="str">
        <f aca="false">IF(AND(D117="",E117=""),"",'Danh mục'!$F$5+SUM($D$5:D117)-SUM($E$5:E117))</f>
        <v/>
      </c>
      <c r="G117" s="33" t="str">
        <f aca="false">IF(OR(A117="",AND(A117=A116)),"",SUMIFS($D$5:$D$504,$A$5:$A$504,A117))</f>
        <v/>
      </c>
      <c r="H117" s="33" t="str">
        <f aca="false">IF(OR(A117="",AND(A117=A116)),"",SUMIFS($E$5:$E$504,$A$5:$A$504,A117))</f>
        <v/>
      </c>
      <c r="I117" s="29"/>
      <c r="J117" s="34"/>
      <c r="K117" s="35"/>
    </row>
    <row r="118" customFormat="false" ht="15" hidden="false" customHeight="false" outlineLevel="0" collapsed="false">
      <c r="A118" s="32"/>
      <c r="B118" s="29"/>
      <c r="C118" s="29"/>
      <c r="D118" s="25"/>
      <c r="E118" s="25"/>
      <c r="F118" s="18" t="str">
        <f aca="false">IF(AND(D118="",E118=""),"",'Danh mục'!$F$5+SUM($D$5:D118)-SUM($E$5:E118))</f>
        <v/>
      </c>
      <c r="G118" s="33" t="str">
        <f aca="false">IF(OR(A118="",AND(A118=A117)),"",SUMIFS($D$5:$D$504,$A$5:$A$504,A118))</f>
        <v/>
      </c>
      <c r="H118" s="33" t="str">
        <f aca="false">IF(OR(A118="",AND(A118=A117)),"",SUMIFS($E$5:$E$504,$A$5:$A$504,A118))</f>
        <v/>
      </c>
      <c r="I118" s="29"/>
      <c r="J118" s="34"/>
      <c r="K118" s="35"/>
    </row>
    <row r="119" customFormat="false" ht="15" hidden="false" customHeight="false" outlineLevel="0" collapsed="false">
      <c r="A119" s="32"/>
      <c r="B119" s="29"/>
      <c r="C119" s="29"/>
      <c r="D119" s="25"/>
      <c r="E119" s="25"/>
      <c r="F119" s="18" t="str">
        <f aca="false">IF(AND(D119="",E119=""),"",'Danh mục'!$F$5+SUM($D$5:D119)-SUM($E$5:E119))</f>
        <v/>
      </c>
      <c r="G119" s="33" t="str">
        <f aca="false">IF(OR(A119="",AND(A119=A118)),"",SUMIFS($D$5:$D$504,$A$5:$A$504,A119))</f>
        <v/>
      </c>
      <c r="H119" s="33" t="str">
        <f aca="false">IF(OR(A119="",AND(A119=A118)),"",SUMIFS($E$5:$E$504,$A$5:$A$504,A119))</f>
        <v/>
      </c>
      <c r="I119" s="29"/>
      <c r="J119" s="34"/>
      <c r="K119" s="35"/>
    </row>
    <row r="120" customFormat="false" ht="15" hidden="false" customHeight="false" outlineLevel="0" collapsed="false">
      <c r="A120" s="32"/>
      <c r="B120" s="29"/>
      <c r="C120" s="29"/>
      <c r="D120" s="25"/>
      <c r="E120" s="25"/>
      <c r="F120" s="18" t="str">
        <f aca="false">IF(AND(D120="",E120=""),"",'Danh mục'!$F$5+SUM($D$5:D120)-SUM($E$5:E120))</f>
        <v/>
      </c>
      <c r="G120" s="33" t="str">
        <f aca="false">IF(OR(A120="",AND(A120=A119)),"",SUMIFS($D$5:$D$504,$A$5:$A$504,A120))</f>
        <v/>
      </c>
      <c r="H120" s="33" t="str">
        <f aca="false">IF(OR(A120="",AND(A120=A119)),"",SUMIFS($E$5:$E$504,$A$5:$A$504,A120))</f>
        <v/>
      </c>
      <c r="I120" s="29"/>
      <c r="J120" s="34"/>
      <c r="K120" s="35"/>
    </row>
    <row r="121" customFormat="false" ht="15" hidden="false" customHeight="false" outlineLevel="0" collapsed="false">
      <c r="A121" s="32"/>
      <c r="B121" s="29"/>
      <c r="C121" s="29"/>
      <c r="D121" s="25"/>
      <c r="E121" s="25"/>
      <c r="F121" s="18" t="str">
        <f aca="false">IF(AND(D121="",E121=""),"",'Danh mục'!$F$5+SUM($D$5:D121)-SUM($E$5:E121))</f>
        <v/>
      </c>
      <c r="G121" s="33" t="str">
        <f aca="false">IF(OR(A121="",AND(A121=A120)),"",SUMIFS($D$5:$D$504,$A$5:$A$504,A121))</f>
        <v/>
      </c>
      <c r="H121" s="33" t="str">
        <f aca="false">IF(OR(A121="",AND(A121=A120)),"",SUMIFS($E$5:$E$504,$A$5:$A$504,A121))</f>
        <v/>
      </c>
      <c r="I121" s="29"/>
      <c r="J121" s="34"/>
      <c r="K121" s="35"/>
    </row>
    <row r="122" customFormat="false" ht="15" hidden="false" customHeight="false" outlineLevel="0" collapsed="false">
      <c r="A122" s="32"/>
      <c r="B122" s="29"/>
      <c r="C122" s="29"/>
      <c r="D122" s="25"/>
      <c r="E122" s="25"/>
      <c r="F122" s="18" t="str">
        <f aca="false">IF(AND(D122="",E122=""),"",'Danh mục'!$F$5+SUM($D$5:D122)-SUM($E$5:E122))</f>
        <v/>
      </c>
      <c r="G122" s="33" t="str">
        <f aca="false">IF(OR(A122="",AND(A122=A121)),"",SUMIFS($D$5:$D$504,$A$5:$A$504,A122))</f>
        <v/>
      </c>
      <c r="H122" s="33" t="str">
        <f aca="false">IF(OR(A122="",AND(A122=A121)),"",SUMIFS($E$5:$E$504,$A$5:$A$504,A122))</f>
        <v/>
      </c>
      <c r="I122" s="29"/>
      <c r="J122" s="34"/>
      <c r="K122" s="35"/>
    </row>
    <row r="123" customFormat="false" ht="15" hidden="false" customHeight="false" outlineLevel="0" collapsed="false">
      <c r="A123" s="32"/>
      <c r="B123" s="29"/>
      <c r="C123" s="29"/>
      <c r="D123" s="25"/>
      <c r="E123" s="25"/>
      <c r="F123" s="18" t="str">
        <f aca="false">IF(AND(D123="",E123=""),"",'Danh mục'!$F$5+SUM($D$5:D123)-SUM($E$5:E123))</f>
        <v/>
      </c>
      <c r="G123" s="33" t="str">
        <f aca="false">IF(OR(A123="",AND(A123=A122)),"",SUMIFS($D$5:$D$504,$A$5:$A$504,A123))</f>
        <v/>
      </c>
      <c r="H123" s="33" t="str">
        <f aca="false">IF(OR(A123="",AND(A123=A122)),"",SUMIFS($E$5:$E$504,$A$5:$A$504,A123))</f>
        <v/>
      </c>
      <c r="I123" s="29"/>
      <c r="J123" s="34"/>
      <c r="K123" s="35"/>
    </row>
    <row r="124" customFormat="false" ht="15" hidden="false" customHeight="false" outlineLevel="0" collapsed="false">
      <c r="A124" s="32"/>
      <c r="B124" s="29"/>
      <c r="C124" s="29"/>
      <c r="D124" s="25"/>
      <c r="E124" s="25"/>
      <c r="F124" s="18" t="str">
        <f aca="false">IF(AND(D124="",E124=""),"",'Danh mục'!$F$5+SUM($D$5:D124)-SUM($E$5:E124))</f>
        <v/>
      </c>
      <c r="G124" s="33" t="str">
        <f aca="false">IF(OR(A124="",AND(A124=A123)),"",SUMIFS($D$5:$D$504,$A$5:$A$504,A124))</f>
        <v/>
      </c>
      <c r="H124" s="33" t="str">
        <f aca="false">IF(OR(A124="",AND(A124=A123)),"",SUMIFS($E$5:$E$504,$A$5:$A$504,A124))</f>
        <v/>
      </c>
      <c r="I124" s="29"/>
      <c r="J124" s="34"/>
      <c r="K124" s="35"/>
    </row>
    <row r="125" customFormat="false" ht="15" hidden="false" customHeight="false" outlineLevel="0" collapsed="false">
      <c r="A125" s="32"/>
      <c r="B125" s="29"/>
      <c r="C125" s="29"/>
      <c r="D125" s="25"/>
      <c r="E125" s="25"/>
      <c r="F125" s="18" t="str">
        <f aca="false">IF(AND(D125="",E125=""),"",'Danh mục'!$F$5+SUM($D$5:D125)-SUM($E$5:E125))</f>
        <v/>
      </c>
      <c r="G125" s="33" t="str">
        <f aca="false">IF(OR(A125="",AND(A125=A124)),"",SUMIFS($D$5:$D$504,$A$5:$A$504,A125))</f>
        <v/>
      </c>
      <c r="H125" s="33" t="str">
        <f aca="false">IF(OR(A125="",AND(A125=A124)),"",SUMIFS($E$5:$E$504,$A$5:$A$504,A125))</f>
        <v/>
      </c>
      <c r="I125" s="29"/>
      <c r="J125" s="34"/>
      <c r="K125" s="35"/>
    </row>
    <row r="126" customFormat="false" ht="15" hidden="false" customHeight="false" outlineLevel="0" collapsed="false">
      <c r="A126" s="32"/>
      <c r="B126" s="29"/>
      <c r="C126" s="29"/>
      <c r="D126" s="25"/>
      <c r="E126" s="25"/>
      <c r="F126" s="18" t="str">
        <f aca="false">IF(AND(D126="",E126=""),"",'Danh mục'!$F$5+SUM($D$5:D126)-SUM($E$5:E126))</f>
        <v/>
      </c>
      <c r="G126" s="33" t="str">
        <f aca="false">IF(OR(A126="",AND(A126=A125)),"",SUMIFS($D$5:$D$504,$A$5:$A$504,A126))</f>
        <v/>
      </c>
      <c r="H126" s="33" t="str">
        <f aca="false">IF(OR(A126="",AND(A126=A125)),"",SUMIFS($E$5:$E$504,$A$5:$A$504,A126))</f>
        <v/>
      </c>
      <c r="I126" s="29"/>
      <c r="J126" s="34"/>
      <c r="K126" s="35"/>
    </row>
    <row r="127" customFormat="false" ht="15" hidden="false" customHeight="false" outlineLevel="0" collapsed="false">
      <c r="A127" s="32"/>
      <c r="B127" s="29"/>
      <c r="C127" s="29"/>
      <c r="D127" s="25"/>
      <c r="E127" s="25"/>
      <c r="F127" s="18" t="str">
        <f aca="false">IF(AND(D127="",E127=""),"",'Danh mục'!$F$5+SUM($D$5:D127)-SUM($E$5:E127))</f>
        <v/>
      </c>
      <c r="G127" s="33" t="str">
        <f aca="false">IF(OR(A127="",AND(A127=A126)),"",SUMIFS($D$5:$D$504,$A$5:$A$504,A127))</f>
        <v/>
      </c>
      <c r="H127" s="33" t="str">
        <f aca="false">IF(OR(A127="",AND(A127=A126)),"",SUMIFS($E$5:$E$504,$A$5:$A$504,A127))</f>
        <v/>
      </c>
      <c r="I127" s="29"/>
      <c r="J127" s="34"/>
      <c r="K127" s="35"/>
    </row>
    <row r="128" customFormat="false" ht="15" hidden="false" customHeight="false" outlineLevel="0" collapsed="false">
      <c r="A128" s="32"/>
      <c r="B128" s="29"/>
      <c r="C128" s="29"/>
      <c r="D128" s="25"/>
      <c r="E128" s="25"/>
      <c r="F128" s="18" t="str">
        <f aca="false">IF(AND(D128="",E128=""),"",'Danh mục'!$F$5+SUM($D$5:D128)-SUM($E$5:E128))</f>
        <v/>
      </c>
      <c r="G128" s="33" t="str">
        <f aca="false">IF(OR(A128="",AND(A128=A127)),"",SUMIFS($D$5:$D$504,$A$5:$A$504,A128))</f>
        <v/>
      </c>
      <c r="H128" s="33" t="str">
        <f aca="false">IF(OR(A128="",AND(A128=A127)),"",SUMIFS($E$5:$E$504,$A$5:$A$504,A128))</f>
        <v/>
      </c>
      <c r="I128" s="29"/>
      <c r="J128" s="34"/>
      <c r="K128" s="35"/>
    </row>
    <row r="129" customFormat="false" ht="15" hidden="false" customHeight="false" outlineLevel="0" collapsed="false">
      <c r="A129" s="32"/>
      <c r="B129" s="29"/>
      <c r="C129" s="29"/>
      <c r="D129" s="25"/>
      <c r="E129" s="25"/>
      <c r="F129" s="18" t="str">
        <f aca="false">IF(AND(D129="",E129=""),"",'Danh mục'!$F$5+SUM($D$5:D129)-SUM($E$5:E129))</f>
        <v/>
      </c>
      <c r="G129" s="33" t="str">
        <f aca="false">IF(OR(A129="",AND(A129=A128)),"",SUMIFS($D$5:$D$504,$A$5:$A$504,A129))</f>
        <v/>
      </c>
      <c r="H129" s="33" t="str">
        <f aca="false">IF(OR(A129="",AND(A129=A128)),"",SUMIFS($E$5:$E$504,$A$5:$A$504,A129))</f>
        <v/>
      </c>
      <c r="I129" s="29"/>
      <c r="J129" s="34"/>
      <c r="K129" s="35"/>
    </row>
    <row r="130" customFormat="false" ht="15" hidden="false" customHeight="false" outlineLevel="0" collapsed="false">
      <c r="A130" s="32"/>
      <c r="B130" s="29"/>
      <c r="C130" s="29"/>
      <c r="D130" s="25"/>
      <c r="E130" s="25"/>
      <c r="F130" s="18" t="str">
        <f aca="false">IF(AND(D130="",E130=""),"",'Danh mục'!$F$5+SUM($D$5:D130)-SUM($E$5:E130))</f>
        <v/>
      </c>
      <c r="G130" s="33" t="str">
        <f aca="false">IF(OR(A130="",AND(A130=A129)),"",SUMIFS($D$5:$D$504,$A$5:$A$504,A130))</f>
        <v/>
      </c>
      <c r="H130" s="33" t="str">
        <f aca="false">IF(OR(A130="",AND(A130=A129)),"",SUMIFS($E$5:$E$504,$A$5:$A$504,A130))</f>
        <v/>
      </c>
      <c r="I130" s="29"/>
      <c r="J130" s="34"/>
      <c r="K130" s="35"/>
    </row>
    <row r="131" customFormat="false" ht="15" hidden="false" customHeight="false" outlineLevel="0" collapsed="false">
      <c r="A131" s="32"/>
      <c r="B131" s="29"/>
      <c r="C131" s="29"/>
      <c r="D131" s="25"/>
      <c r="E131" s="25"/>
      <c r="F131" s="18" t="str">
        <f aca="false">IF(AND(D131="",E131=""),"",'Danh mục'!$F$5+SUM($D$5:D131)-SUM($E$5:E131))</f>
        <v/>
      </c>
      <c r="G131" s="33" t="str">
        <f aca="false">IF(OR(A131="",AND(A131=A130)),"",SUMIFS($D$5:$D$504,$A$5:$A$504,A131))</f>
        <v/>
      </c>
      <c r="H131" s="33" t="str">
        <f aca="false">IF(OR(A131="",AND(A131=A130)),"",SUMIFS($E$5:$E$504,$A$5:$A$504,A131))</f>
        <v/>
      </c>
      <c r="I131" s="29"/>
      <c r="J131" s="34"/>
      <c r="K131" s="35"/>
    </row>
    <row r="132" customFormat="false" ht="15" hidden="false" customHeight="false" outlineLevel="0" collapsed="false">
      <c r="A132" s="32"/>
      <c r="B132" s="29"/>
      <c r="C132" s="29"/>
      <c r="D132" s="25"/>
      <c r="E132" s="25"/>
      <c r="F132" s="18" t="str">
        <f aca="false">IF(AND(D132="",E132=""),"",'Danh mục'!$F$5+SUM($D$5:D132)-SUM($E$5:E132))</f>
        <v/>
      </c>
      <c r="G132" s="33" t="str">
        <f aca="false">IF(OR(A132="",AND(A132=A131)),"",SUMIFS($D$5:$D$504,$A$5:$A$504,A132))</f>
        <v/>
      </c>
      <c r="H132" s="33" t="str">
        <f aca="false">IF(OR(A132="",AND(A132=A131)),"",SUMIFS($E$5:$E$504,$A$5:$A$504,A132))</f>
        <v/>
      </c>
      <c r="I132" s="29"/>
      <c r="J132" s="34"/>
      <c r="K132" s="35"/>
    </row>
    <row r="133" customFormat="false" ht="15" hidden="false" customHeight="false" outlineLevel="0" collapsed="false">
      <c r="A133" s="32"/>
      <c r="B133" s="29"/>
      <c r="C133" s="29"/>
      <c r="D133" s="25"/>
      <c r="E133" s="25"/>
      <c r="F133" s="18" t="str">
        <f aca="false">IF(AND(D133="",E133=""),"",'Danh mục'!$F$5+SUM($D$5:D133)-SUM($E$5:E133))</f>
        <v/>
      </c>
      <c r="G133" s="33" t="str">
        <f aca="false">IF(OR(A133="",AND(A133=A132)),"",SUMIFS($D$5:$D$504,$A$5:$A$504,A133))</f>
        <v/>
      </c>
      <c r="H133" s="33" t="str">
        <f aca="false">IF(OR(A133="",AND(A133=A132)),"",SUMIFS($E$5:$E$504,$A$5:$A$504,A133))</f>
        <v/>
      </c>
      <c r="I133" s="29"/>
      <c r="J133" s="34"/>
      <c r="K133" s="35"/>
    </row>
    <row r="134" customFormat="false" ht="15" hidden="false" customHeight="false" outlineLevel="0" collapsed="false">
      <c r="A134" s="32"/>
      <c r="B134" s="29"/>
      <c r="C134" s="29"/>
      <c r="D134" s="25"/>
      <c r="E134" s="25"/>
      <c r="F134" s="18" t="str">
        <f aca="false">IF(AND(D134="",E134=""),"",'Danh mục'!$F$5+SUM($D$5:D134)-SUM($E$5:E134))</f>
        <v/>
      </c>
      <c r="G134" s="33" t="str">
        <f aca="false">IF(OR(A134="",AND(A134=A133)),"",SUMIFS($D$5:$D$504,$A$5:$A$504,A134))</f>
        <v/>
      </c>
      <c r="H134" s="33" t="str">
        <f aca="false">IF(OR(A134="",AND(A134=A133)),"",SUMIFS($E$5:$E$504,$A$5:$A$504,A134))</f>
        <v/>
      </c>
      <c r="I134" s="29"/>
      <c r="J134" s="34"/>
      <c r="K134" s="35"/>
    </row>
    <row r="135" customFormat="false" ht="15" hidden="false" customHeight="false" outlineLevel="0" collapsed="false">
      <c r="A135" s="32"/>
      <c r="B135" s="29"/>
      <c r="C135" s="29"/>
      <c r="D135" s="25"/>
      <c r="E135" s="25"/>
      <c r="F135" s="18" t="str">
        <f aca="false">IF(AND(D135="",E135=""),"",'Danh mục'!$F$5+SUM($D$5:D135)-SUM($E$5:E135))</f>
        <v/>
      </c>
      <c r="G135" s="33" t="str">
        <f aca="false">IF(OR(A135="",AND(A135=A134)),"",SUMIFS($D$5:$D$504,$A$5:$A$504,A135))</f>
        <v/>
      </c>
      <c r="H135" s="33" t="str">
        <f aca="false">IF(OR(A135="",AND(A135=A134)),"",SUMIFS($E$5:$E$504,$A$5:$A$504,A135))</f>
        <v/>
      </c>
      <c r="I135" s="29"/>
      <c r="J135" s="34"/>
      <c r="K135" s="35"/>
    </row>
    <row r="136" customFormat="false" ht="15" hidden="false" customHeight="false" outlineLevel="0" collapsed="false">
      <c r="A136" s="32"/>
      <c r="B136" s="29"/>
      <c r="C136" s="29"/>
      <c r="D136" s="25"/>
      <c r="E136" s="25"/>
      <c r="F136" s="18" t="str">
        <f aca="false">IF(AND(D136="",E136=""),"",'Danh mục'!$F$5+SUM($D$5:D136)-SUM($E$5:E136))</f>
        <v/>
      </c>
      <c r="G136" s="33" t="str">
        <f aca="false">IF(OR(A136="",AND(A136=A135)),"",SUMIFS($D$5:$D$504,$A$5:$A$504,A136))</f>
        <v/>
      </c>
      <c r="H136" s="33" t="str">
        <f aca="false">IF(OR(A136="",AND(A136=A135)),"",SUMIFS($E$5:$E$504,$A$5:$A$504,A136))</f>
        <v/>
      </c>
      <c r="I136" s="29"/>
      <c r="J136" s="34"/>
      <c r="K136" s="35"/>
    </row>
    <row r="137" customFormat="false" ht="15" hidden="false" customHeight="false" outlineLevel="0" collapsed="false">
      <c r="A137" s="32"/>
      <c r="B137" s="29"/>
      <c r="C137" s="29"/>
      <c r="D137" s="25"/>
      <c r="E137" s="25"/>
      <c r="F137" s="18" t="str">
        <f aca="false">IF(AND(D137="",E137=""),"",'Danh mục'!$F$5+SUM($D$5:D137)-SUM($E$5:E137))</f>
        <v/>
      </c>
      <c r="G137" s="33" t="str">
        <f aca="false">IF(OR(A137="",AND(A137=A136)),"",SUMIFS($D$5:$D$504,$A$5:$A$504,A137))</f>
        <v/>
      </c>
      <c r="H137" s="33" t="str">
        <f aca="false">IF(OR(A137="",AND(A137=A136)),"",SUMIFS($E$5:$E$504,$A$5:$A$504,A137))</f>
        <v/>
      </c>
      <c r="I137" s="29"/>
      <c r="J137" s="34"/>
      <c r="K137" s="35"/>
    </row>
    <row r="138" customFormat="false" ht="15" hidden="false" customHeight="false" outlineLevel="0" collapsed="false">
      <c r="A138" s="32"/>
      <c r="B138" s="29"/>
      <c r="C138" s="29"/>
      <c r="D138" s="25"/>
      <c r="E138" s="25"/>
      <c r="F138" s="18" t="str">
        <f aca="false">IF(AND(D138="",E138=""),"",'Danh mục'!$F$5+SUM($D$5:D138)-SUM($E$5:E138))</f>
        <v/>
      </c>
      <c r="G138" s="33" t="str">
        <f aca="false">IF(OR(A138="",AND(A138=A137)),"",SUMIFS($D$5:$D$504,$A$5:$A$504,A138))</f>
        <v/>
      </c>
      <c r="H138" s="33" t="str">
        <f aca="false">IF(OR(A138="",AND(A138=A137)),"",SUMIFS($E$5:$E$504,$A$5:$A$504,A138))</f>
        <v/>
      </c>
      <c r="I138" s="29"/>
      <c r="J138" s="34"/>
      <c r="K138" s="35"/>
    </row>
    <row r="139" customFormat="false" ht="15" hidden="false" customHeight="false" outlineLevel="0" collapsed="false">
      <c r="A139" s="32"/>
      <c r="B139" s="29"/>
      <c r="C139" s="29"/>
      <c r="D139" s="25"/>
      <c r="E139" s="25"/>
      <c r="F139" s="18" t="str">
        <f aca="false">IF(AND(D139="",E139=""),"",'Danh mục'!$F$5+SUM($D$5:D139)-SUM($E$5:E139))</f>
        <v/>
      </c>
      <c r="G139" s="33" t="str">
        <f aca="false">IF(OR(A139="",AND(A139=A138)),"",SUMIFS($D$5:$D$504,$A$5:$A$504,A139))</f>
        <v/>
      </c>
      <c r="H139" s="33" t="str">
        <f aca="false">IF(OR(A139="",AND(A139=A138)),"",SUMIFS($E$5:$E$504,$A$5:$A$504,A139))</f>
        <v/>
      </c>
      <c r="I139" s="29"/>
      <c r="J139" s="34"/>
      <c r="K139" s="35"/>
    </row>
    <row r="140" customFormat="false" ht="15" hidden="false" customHeight="false" outlineLevel="0" collapsed="false">
      <c r="A140" s="32"/>
      <c r="B140" s="29"/>
      <c r="C140" s="29"/>
      <c r="D140" s="25"/>
      <c r="E140" s="25"/>
      <c r="F140" s="18" t="str">
        <f aca="false">IF(AND(D140="",E140=""),"",'Danh mục'!$F$5+SUM($D$5:D140)-SUM($E$5:E140))</f>
        <v/>
      </c>
      <c r="G140" s="33" t="str">
        <f aca="false">IF(OR(A140="",AND(A140=A139)),"",SUMIFS($D$5:$D$504,$A$5:$A$504,A140))</f>
        <v/>
      </c>
      <c r="H140" s="33" t="str">
        <f aca="false">IF(OR(A140="",AND(A140=A139)),"",SUMIFS($E$5:$E$504,$A$5:$A$504,A140))</f>
        <v/>
      </c>
      <c r="I140" s="29"/>
      <c r="J140" s="34"/>
      <c r="K140" s="35"/>
    </row>
    <row r="141" customFormat="false" ht="15" hidden="false" customHeight="false" outlineLevel="0" collapsed="false">
      <c r="A141" s="32"/>
      <c r="B141" s="29"/>
      <c r="C141" s="29"/>
      <c r="D141" s="25"/>
      <c r="E141" s="25"/>
      <c r="F141" s="18" t="str">
        <f aca="false">IF(AND(D141="",E141=""),"",'Danh mục'!$F$5+SUM($D$5:D141)-SUM($E$5:E141))</f>
        <v/>
      </c>
      <c r="G141" s="33" t="str">
        <f aca="false">IF(OR(A141="",AND(A141=A140)),"",SUMIFS($D$5:$D$504,$A$5:$A$504,A141))</f>
        <v/>
      </c>
      <c r="H141" s="33" t="str">
        <f aca="false">IF(OR(A141="",AND(A141=A140)),"",SUMIFS($E$5:$E$504,$A$5:$A$504,A141))</f>
        <v/>
      </c>
      <c r="I141" s="29"/>
      <c r="J141" s="34"/>
      <c r="K141" s="35"/>
    </row>
    <row r="142" customFormat="false" ht="15" hidden="false" customHeight="false" outlineLevel="0" collapsed="false">
      <c r="A142" s="32"/>
      <c r="B142" s="29"/>
      <c r="C142" s="29"/>
      <c r="D142" s="25"/>
      <c r="E142" s="25"/>
      <c r="F142" s="18" t="str">
        <f aca="false">IF(AND(D142="",E142=""),"",'Danh mục'!$F$5+SUM($D$5:D142)-SUM($E$5:E142))</f>
        <v/>
      </c>
      <c r="G142" s="33" t="str">
        <f aca="false">IF(OR(A142="",AND(A142=A141)),"",SUMIFS($D$5:$D$504,$A$5:$A$504,A142))</f>
        <v/>
      </c>
      <c r="H142" s="33" t="str">
        <f aca="false">IF(OR(A142="",AND(A142=A141)),"",SUMIFS($E$5:$E$504,$A$5:$A$504,A142))</f>
        <v/>
      </c>
      <c r="I142" s="29"/>
      <c r="J142" s="34"/>
      <c r="K142" s="35"/>
    </row>
    <row r="143" customFormat="false" ht="15" hidden="false" customHeight="false" outlineLevel="0" collapsed="false">
      <c r="A143" s="32"/>
      <c r="B143" s="29"/>
      <c r="C143" s="29"/>
      <c r="D143" s="25"/>
      <c r="E143" s="25"/>
      <c r="F143" s="18" t="str">
        <f aca="false">IF(AND(D143="",E143=""),"",'Danh mục'!$F$5+SUM($D$5:D143)-SUM($E$5:E143))</f>
        <v/>
      </c>
      <c r="G143" s="33" t="str">
        <f aca="false">IF(OR(A143="",AND(A143=A142)),"",SUMIFS($D$5:$D$504,$A$5:$A$504,A143))</f>
        <v/>
      </c>
      <c r="H143" s="33" t="str">
        <f aca="false">IF(OR(A143="",AND(A143=A142)),"",SUMIFS($E$5:$E$504,$A$5:$A$504,A143))</f>
        <v/>
      </c>
      <c r="I143" s="29"/>
      <c r="J143" s="34"/>
      <c r="K143" s="35"/>
    </row>
    <row r="144" customFormat="false" ht="15" hidden="false" customHeight="false" outlineLevel="0" collapsed="false">
      <c r="A144" s="32"/>
      <c r="B144" s="29"/>
      <c r="C144" s="29"/>
      <c r="D144" s="25"/>
      <c r="E144" s="25"/>
      <c r="F144" s="18" t="str">
        <f aca="false">IF(AND(D144="",E144=""),"",'Danh mục'!$F$5+SUM($D$5:D144)-SUM($E$5:E144))</f>
        <v/>
      </c>
      <c r="G144" s="33" t="str">
        <f aca="false">IF(OR(A144="",AND(A144=A143)),"",SUMIFS($D$5:$D$504,$A$5:$A$504,A144))</f>
        <v/>
      </c>
      <c r="H144" s="33" t="str">
        <f aca="false">IF(OR(A144="",AND(A144=A143)),"",SUMIFS($E$5:$E$504,$A$5:$A$504,A144))</f>
        <v/>
      </c>
      <c r="I144" s="29"/>
      <c r="J144" s="34"/>
      <c r="K144" s="35"/>
    </row>
    <row r="145" customFormat="false" ht="15" hidden="false" customHeight="false" outlineLevel="0" collapsed="false">
      <c r="A145" s="32"/>
      <c r="B145" s="29"/>
      <c r="C145" s="29"/>
      <c r="D145" s="25"/>
      <c r="E145" s="25"/>
      <c r="F145" s="18" t="str">
        <f aca="false">IF(AND(D145="",E145=""),"",'Danh mục'!$F$5+SUM($D$5:D145)-SUM($E$5:E145))</f>
        <v/>
      </c>
      <c r="G145" s="33" t="str">
        <f aca="false">IF(OR(A145="",AND(A145=A144)),"",SUMIFS($D$5:$D$504,$A$5:$A$504,A145))</f>
        <v/>
      </c>
      <c r="H145" s="33" t="str">
        <f aca="false">IF(OR(A145="",AND(A145=A144)),"",SUMIFS($E$5:$E$504,$A$5:$A$504,A145))</f>
        <v/>
      </c>
      <c r="I145" s="29"/>
      <c r="J145" s="34"/>
      <c r="K145" s="35"/>
    </row>
    <row r="146" customFormat="false" ht="15" hidden="false" customHeight="false" outlineLevel="0" collapsed="false">
      <c r="A146" s="32"/>
      <c r="B146" s="29"/>
      <c r="C146" s="29"/>
      <c r="D146" s="25"/>
      <c r="E146" s="25"/>
      <c r="F146" s="18" t="str">
        <f aca="false">IF(AND(D146="",E146=""),"",'Danh mục'!$F$5+SUM($D$5:D146)-SUM($E$5:E146))</f>
        <v/>
      </c>
      <c r="G146" s="33" t="str">
        <f aca="false">IF(OR(A146="",AND(A146=A145)),"",SUMIFS($D$5:$D$504,$A$5:$A$504,A146))</f>
        <v/>
      </c>
      <c r="H146" s="33" t="str">
        <f aca="false">IF(OR(A146="",AND(A146=A145)),"",SUMIFS($E$5:$E$504,$A$5:$A$504,A146))</f>
        <v/>
      </c>
      <c r="I146" s="29"/>
      <c r="J146" s="34"/>
      <c r="K146" s="35"/>
    </row>
    <row r="147" customFormat="false" ht="15" hidden="false" customHeight="false" outlineLevel="0" collapsed="false">
      <c r="A147" s="32"/>
      <c r="B147" s="29"/>
      <c r="C147" s="29"/>
      <c r="D147" s="25"/>
      <c r="E147" s="25"/>
      <c r="F147" s="18" t="str">
        <f aca="false">IF(AND(D147="",E147=""),"",'Danh mục'!$F$5+SUM($D$5:D147)-SUM($E$5:E147))</f>
        <v/>
      </c>
      <c r="G147" s="33" t="str">
        <f aca="false">IF(OR(A147="",AND(A147=A146)),"",SUMIFS($D$5:$D$504,$A$5:$A$504,A147))</f>
        <v/>
      </c>
      <c r="H147" s="33" t="str">
        <f aca="false">IF(OR(A147="",AND(A147=A146)),"",SUMIFS($E$5:$E$504,$A$5:$A$504,A147))</f>
        <v/>
      </c>
      <c r="I147" s="29"/>
      <c r="J147" s="34"/>
      <c r="K147" s="35"/>
    </row>
    <row r="148" customFormat="false" ht="15" hidden="false" customHeight="false" outlineLevel="0" collapsed="false">
      <c r="A148" s="32"/>
      <c r="B148" s="29"/>
      <c r="C148" s="29"/>
      <c r="D148" s="25"/>
      <c r="E148" s="25"/>
      <c r="F148" s="18" t="str">
        <f aca="false">IF(AND(D148="",E148=""),"",'Danh mục'!$F$5+SUM($D$5:D148)-SUM($E$5:E148))</f>
        <v/>
      </c>
      <c r="G148" s="33" t="str">
        <f aca="false">IF(OR(A148="",AND(A148=A147)),"",SUMIFS($D$5:$D$504,$A$5:$A$504,A148))</f>
        <v/>
      </c>
      <c r="H148" s="33" t="str">
        <f aca="false">IF(OR(A148="",AND(A148=A147)),"",SUMIFS($E$5:$E$504,$A$5:$A$504,A148))</f>
        <v/>
      </c>
      <c r="I148" s="29"/>
      <c r="J148" s="34"/>
      <c r="K148" s="35"/>
    </row>
    <row r="149" customFormat="false" ht="15" hidden="false" customHeight="false" outlineLevel="0" collapsed="false">
      <c r="A149" s="32"/>
      <c r="B149" s="29"/>
      <c r="C149" s="29"/>
      <c r="D149" s="25"/>
      <c r="E149" s="25"/>
      <c r="F149" s="18" t="str">
        <f aca="false">IF(AND(D149="",E149=""),"",'Danh mục'!$F$5+SUM($D$5:D149)-SUM($E$5:E149))</f>
        <v/>
      </c>
      <c r="G149" s="33" t="str">
        <f aca="false">IF(OR(A149="",AND(A149=A148)),"",SUMIFS($D$5:$D$504,$A$5:$A$504,A149))</f>
        <v/>
      </c>
      <c r="H149" s="33" t="str">
        <f aca="false">IF(OR(A149="",AND(A149=A148)),"",SUMIFS($E$5:$E$504,$A$5:$A$504,A149))</f>
        <v/>
      </c>
      <c r="I149" s="29"/>
      <c r="J149" s="34"/>
      <c r="K149" s="35"/>
    </row>
    <row r="150" customFormat="false" ht="15" hidden="false" customHeight="false" outlineLevel="0" collapsed="false">
      <c r="A150" s="32"/>
      <c r="B150" s="29"/>
      <c r="C150" s="29"/>
      <c r="D150" s="25"/>
      <c r="E150" s="25"/>
      <c r="F150" s="18" t="str">
        <f aca="false">IF(AND(D150="",E150=""),"",'Danh mục'!$F$5+SUM($D$5:D150)-SUM($E$5:E150))</f>
        <v/>
      </c>
      <c r="G150" s="33" t="str">
        <f aca="false">IF(OR(A150="",AND(A150=A149)),"",SUMIFS($D$5:$D$504,$A$5:$A$504,A150))</f>
        <v/>
      </c>
      <c r="H150" s="33" t="str">
        <f aca="false">IF(OR(A150="",AND(A150=A149)),"",SUMIFS($E$5:$E$504,$A$5:$A$504,A150))</f>
        <v/>
      </c>
      <c r="I150" s="29"/>
      <c r="J150" s="34"/>
      <c r="K150" s="35"/>
    </row>
    <row r="151" customFormat="false" ht="15" hidden="false" customHeight="false" outlineLevel="0" collapsed="false">
      <c r="A151" s="32"/>
      <c r="B151" s="29"/>
      <c r="C151" s="29"/>
      <c r="D151" s="25"/>
      <c r="E151" s="25"/>
      <c r="F151" s="18" t="str">
        <f aca="false">IF(AND(D151="",E151=""),"",'Danh mục'!$F$5+SUM($D$5:D151)-SUM($E$5:E151))</f>
        <v/>
      </c>
      <c r="G151" s="33" t="str">
        <f aca="false">IF(OR(A151="",AND(A151=A150)),"",SUMIFS($D$5:$D$504,$A$5:$A$504,A151))</f>
        <v/>
      </c>
      <c r="H151" s="33" t="str">
        <f aca="false">IF(OR(A151="",AND(A151=A150)),"",SUMIFS($E$5:$E$504,$A$5:$A$504,A151))</f>
        <v/>
      </c>
      <c r="I151" s="29"/>
      <c r="J151" s="34"/>
      <c r="K151" s="35"/>
    </row>
    <row r="152" customFormat="false" ht="15" hidden="false" customHeight="false" outlineLevel="0" collapsed="false">
      <c r="A152" s="32"/>
      <c r="B152" s="29"/>
      <c r="C152" s="29"/>
      <c r="D152" s="25"/>
      <c r="E152" s="25"/>
      <c r="F152" s="18" t="str">
        <f aca="false">IF(AND(D152="",E152=""),"",'Danh mục'!$F$5+SUM($D$5:D152)-SUM($E$5:E152))</f>
        <v/>
      </c>
      <c r="G152" s="33" t="str">
        <f aca="false">IF(OR(A152="",AND(A152=A151)),"",SUMIFS($D$5:$D$504,$A$5:$A$504,A152))</f>
        <v/>
      </c>
      <c r="H152" s="33" t="str">
        <f aca="false">IF(OR(A152="",AND(A152=A151)),"",SUMIFS($E$5:$E$504,$A$5:$A$504,A152))</f>
        <v/>
      </c>
      <c r="I152" s="29"/>
      <c r="J152" s="34"/>
      <c r="K152" s="35"/>
    </row>
    <row r="153" customFormat="false" ht="15" hidden="false" customHeight="false" outlineLevel="0" collapsed="false">
      <c r="A153" s="32"/>
      <c r="B153" s="29"/>
      <c r="C153" s="29"/>
      <c r="D153" s="25"/>
      <c r="E153" s="25"/>
      <c r="F153" s="18" t="str">
        <f aca="false">IF(AND(D153="",E153=""),"",'Danh mục'!$F$5+SUM($D$5:D153)-SUM($E$5:E153))</f>
        <v/>
      </c>
      <c r="G153" s="33" t="str">
        <f aca="false">IF(OR(A153="",AND(A153=A152)),"",SUMIFS($D$5:$D$504,$A$5:$A$504,A153))</f>
        <v/>
      </c>
      <c r="H153" s="33" t="str">
        <f aca="false">IF(OR(A153="",AND(A153=A152)),"",SUMIFS($E$5:$E$504,$A$5:$A$504,A153))</f>
        <v/>
      </c>
      <c r="I153" s="29"/>
      <c r="J153" s="34"/>
      <c r="K153" s="35"/>
    </row>
    <row r="154" customFormat="false" ht="15" hidden="false" customHeight="false" outlineLevel="0" collapsed="false">
      <c r="A154" s="32"/>
      <c r="B154" s="29"/>
      <c r="C154" s="29"/>
      <c r="D154" s="25"/>
      <c r="E154" s="25"/>
      <c r="F154" s="18" t="str">
        <f aca="false">IF(AND(D154="",E154=""),"",'Danh mục'!$F$5+SUM($D$5:D154)-SUM($E$5:E154))</f>
        <v/>
      </c>
      <c r="G154" s="33" t="str">
        <f aca="false">IF(OR(A154="",AND(A154=A153)),"",SUMIFS($D$5:$D$504,$A$5:$A$504,A154))</f>
        <v/>
      </c>
      <c r="H154" s="33" t="str">
        <f aca="false">IF(OR(A154="",AND(A154=A153)),"",SUMIFS($E$5:$E$504,$A$5:$A$504,A154))</f>
        <v/>
      </c>
      <c r="I154" s="29"/>
      <c r="J154" s="34"/>
      <c r="K154" s="35"/>
    </row>
    <row r="155" customFormat="false" ht="15" hidden="false" customHeight="false" outlineLevel="0" collapsed="false">
      <c r="A155" s="32"/>
      <c r="B155" s="29"/>
      <c r="C155" s="29"/>
      <c r="D155" s="25"/>
      <c r="E155" s="25"/>
      <c r="F155" s="18" t="str">
        <f aca="false">IF(AND(D155="",E155=""),"",'Danh mục'!$F$5+SUM($D$5:D155)-SUM($E$5:E155))</f>
        <v/>
      </c>
      <c r="G155" s="33" t="str">
        <f aca="false">IF(OR(A155="",AND(A155=A154)),"",SUMIFS($D$5:$D$504,$A$5:$A$504,A155))</f>
        <v/>
      </c>
      <c r="H155" s="33" t="str">
        <f aca="false">IF(OR(A155="",AND(A155=A154)),"",SUMIFS($E$5:$E$504,$A$5:$A$504,A155))</f>
        <v/>
      </c>
      <c r="I155" s="29"/>
      <c r="J155" s="34"/>
      <c r="K155" s="35"/>
    </row>
    <row r="156" customFormat="false" ht="15" hidden="false" customHeight="false" outlineLevel="0" collapsed="false">
      <c r="A156" s="32"/>
      <c r="B156" s="29"/>
      <c r="C156" s="29"/>
      <c r="D156" s="25"/>
      <c r="E156" s="25"/>
      <c r="F156" s="18" t="str">
        <f aca="false">IF(AND(D156="",E156=""),"",'Danh mục'!$F$5+SUM($D$5:D156)-SUM($E$5:E156))</f>
        <v/>
      </c>
      <c r="G156" s="33" t="str">
        <f aca="false">IF(OR(A156="",AND(A156=A155)),"",SUMIFS($D$5:$D$504,$A$5:$A$504,A156))</f>
        <v/>
      </c>
      <c r="H156" s="33" t="str">
        <f aca="false">IF(OR(A156="",AND(A156=A155)),"",SUMIFS($E$5:$E$504,$A$5:$A$504,A156))</f>
        <v/>
      </c>
      <c r="I156" s="29"/>
      <c r="J156" s="34"/>
      <c r="K156" s="35"/>
    </row>
    <row r="157" customFormat="false" ht="15" hidden="false" customHeight="false" outlineLevel="0" collapsed="false">
      <c r="A157" s="32"/>
      <c r="B157" s="29"/>
      <c r="C157" s="29"/>
      <c r="D157" s="25"/>
      <c r="E157" s="25"/>
      <c r="F157" s="18" t="str">
        <f aca="false">IF(AND(D157="",E157=""),"",'Danh mục'!$F$5+SUM($D$5:D157)-SUM($E$5:E157))</f>
        <v/>
      </c>
      <c r="G157" s="33" t="str">
        <f aca="false">IF(OR(A157="",AND(A157=A156)),"",SUMIFS($D$5:$D$504,$A$5:$A$504,A157))</f>
        <v/>
      </c>
      <c r="H157" s="33" t="str">
        <f aca="false">IF(OR(A157="",AND(A157=A156)),"",SUMIFS($E$5:$E$504,$A$5:$A$504,A157))</f>
        <v/>
      </c>
      <c r="I157" s="29"/>
      <c r="J157" s="34"/>
      <c r="K157" s="35"/>
    </row>
    <row r="158" customFormat="false" ht="15" hidden="false" customHeight="false" outlineLevel="0" collapsed="false">
      <c r="A158" s="32"/>
      <c r="B158" s="29"/>
      <c r="C158" s="29"/>
      <c r="D158" s="25"/>
      <c r="E158" s="25"/>
      <c r="F158" s="18" t="str">
        <f aca="false">IF(AND(D158="",E158=""),"",'Danh mục'!$F$5+SUM($D$5:D158)-SUM($E$5:E158))</f>
        <v/>
      </c>
      <c r="G158" s="33" t="str">
        <f aca="false">IF(OR(A158="",AND(A158=A157)),"",SUMIFS($D$5:$D$504,$A$5:$A$504,A158))</f>
        <v/>
      </c>
      <c r="H158" s="33" t="str">
        <f aca="false">IF(OR(A158="",AND(A158=A157)),"",SUMIFS($E$5:$E$504,$A$5:$A$504,A158))</f>
        <v/>
      </c>
      <c r="I158" s="29"/>
      <c r="J158" s="34"/>
      <c r="K158" s="35"/>
    </row>
    <row r="159" customFormat="false" ht="15" hidden="false" customHeight="false" outlineLevel="0" collapsed="false">
      <c r="A159" s="32"/>
      <c r="B159" s="29"/>
      <c r="C159" s="29"/>
      <c r="D159" s="25"/>
      <c r="E159" s="25"/>
      <c r="F159" s="18" t="str">
        <f aca="false">IF(AND(D159="",E159=""),"",'Danh mục'!$F$5+SUM($D$5:D159)-SUM($E$5:E159))</f>
        <v/>
      </c>
      <c r="G159" s="33" t="str">
        <f aca="false">IF(OR(A159="",AND(A159=A158)),"",SUMIFS($D$5:$D$504,$A$5:$A$504,A159))</f>
        <v/>
      </c>
      <c r="H159" s="33" t="str">
        <f aca="false">IF(OR(A159="",AND(A159=A158)),"",SUMIFS($E$5:$E$504,$A$5:$A$504,A159))</f>
        <v/>
      </c>
      <c r="I159" s="29"/>
      <c r="J159" s="34"/>
      <c r="K159" s="35"/>
    </row>
    <row r="160" customFormat="false" ht="15" hidden="false" customHeight="false" outlineLevel="0" collapsed="false">
      <c r="A160" s="32"/>
      <c r="B160" s="29"/>
      <c r="C160" s="29"/>
      <c r="D160" s="25"/>
      <c r="E160" s="25"/>
      <c r="F160" s="18" t="str">
        <f aca="false">IF(AND(D160="",E160=""),"",'Danh mục'!$F$5+SUM($D$5:D160)-SUM($E$5:E160))</f>
        <v/>
      </c>
      <c r="G160" s="33" t="str">
        <f aca="false">IF(OR(A160="",AND(A160=A159)),"",SUMIFS($D$5:$D$504,$A$5:$A$504,A160))</f>
        <v/>
      </c>
      <c r="H160" s="33" t="str">
        <f aca="false">IF(OR(A160="",AND(A160=A159)),"",SUMIFS($E$5:$E$504,$A$5:$A$504,A160))</f>
        <v/>
      </c>
      <c r="I160" s="29"/>
      <c r="J160" s="34"/>
      <c r="K160" s="35"/>
    </row>
    <row r="161" customFormat="false" ht="15" hidden="false" customHeight="false" outlineLevel="0" collapsed="false">
      <c r="A161" s="32"/>
      <c r="B161" s="29"/>
      <c r="C161" s="29"/>
      <c r="D161" s="25"/>
      <c r="E161" s="25"/>
      <c r="F161" s="18" t="str">
        <f aca="false">IF(AND(D161="",E161=""),"",'Danh mục'!$F$5+SUM($D$5:D161)-SUM($E$5:E161))</f>
        <v/>
      </c>
      <c r="G161" s="33" t="str">
        <f aca="false">IF(OR(A161="",AND(A161=A160)),"",SUMIFS($D$5:$D$504,$A$5:$A$504,A161))</f>
        <v/>
      </c>
      <c r="H161" s="33" t="str">
        <f aca="false">IF(OR(A161="",AND(A161=A160)),"",SUMIFS($E$5:$E$504,$A$5:$A$504,A161))</f>
        <v/>
      </c>
      <c r="I161" s="29"/>
      <c r="J161" s="34"/>
      <c r="K161" s="35"/>
    </row>
    <row r="162" customFormat="false" ht="15" hidden="false" customHeight="false" outlineLevel="0" collapsed="false">
      <c r="A162" s="32"/>
      <c r="B162" s="29"/>
      <c r="C162" s="29"/>
      <c r="D162" s="25"/>
      <c r="E162" s="25"/>
      <c r="F162" s="18" t="str">
        <f aca="false">IF(AND(D162="",E162=""),"",'Danh mục'!$F$5+SUM($D$5:D162)-SUM($E$5:E162))</f>
        <v/>
      </c>
      <c r="G162" s="33" t="str">
        <f aca="false">IF(OR(A162="",AND(A162=A161)),"",SUMIFS($D$5:$D$504,$A$5:$A$504,A162))</f>
        <v/>
      </c>
      <c r="H162" s="33" t="str">
        <f aca="false">IF(OR(A162="",AND(A162=A161)),"",SUMIFS($E$5:$E$504,$A$5:$A$504,A162))</f>
        <v/>
      </c>
      <c r="I162" s="29"/>
      <c r="J162" s="34"/>
      <c r="K162" s="35"/>
    </row>
    <row r="163" customFormat="false" ht="15" hidden="false" customHeight="false" outlineLevel="0" collapsed="false">
      <c r="A163" s="32"/>
      <c r="B163" s="29"/>
      <c r="C163" s="29"/>
      <c r="D163" s="25"/>
      <c r="E163" s="25"/>
      <c r="F163" s="18" t="str">
        <f aca="false">IF(AND(D163="",E163=""),"",'Danh mục'!$F$5+SUM($D$5:D163)-SUM($E$5:E163))</f>
        <v/>
      </c>
      <c r="G163" s="33" t="str">
        <f aca="false">IF(OR(A163="",AND(A163=A162)),"",SUMIFS($D$5:$D$504,$A$5:$A$504,A163))</f>
        <v/>
      </c>
      <c r="H163" s="33" t="str">
        <f aca="false">IF(OR(A163="",AND(A163=A162)),"",SUMIFS($E$5:$E$504,$A$5:$A$504,A163))</f>
        <v/>
      </c>
      <c r="I163" s="29"/>
      <c r="J163" s="34"/>
      <c r="K163" s="35"/>
    </row>
    <row r="164" customFormat="false" ht="15" hidden="false" customHeight="false" outlineLevel="0" collapsed="false">
      <c r="A164" s="32"/>
      <c r="B164" s="29"/>
      <c r="C164" s="29"/>
      <c r="D164" s="25"/>
      <c r="E164" s="25"/>
      <c r="F164" s="18" t="str">
        <f aca="false">IF(AND(D164="",E164=""),"",'Danh mục'!$F$5+SUM($D$5:D164)-SUM($E$5:E164))</f>
        <v/>
      </c>
      <c r="G164" s="33" t="str">
        <f aca="false">IF(OR(A164="",AND(A164=A163)),"",SUMIFS($D$5:$D$504,$A$5:$A$504,A164))</f>
        <v/>
      </c>
      <c r="H164" s="33" t="str">
        <f aca="false">IF(OR(A164="",AND(A164=A163)),"",SUMIFS($E$5:$E$504,$A$5:$A$504,A164))</f>
        <v/>
      </c>
      <c r="I164" s="29"/>
      <c r="J164" s="34"/>
      <c r="K164" s="35"/>
    </row>
    <row r="165" customFormat="false" ht="15" hidden="false" customHeight="false" outlineLevel="0" collapsed="false">
      <c r="A165" s="32"/>
      <c r="B165" s="29"/>
      <c r="C165" s="29"/>
      <c r="D165" s="25"/>
      <c r="E165" s="25"/>
      <c r="F165" s="18" t="str">
        <f aca="false">IF(AND(D165="",E165=""),"",'Danh mục'!$F$5+SUM($D$5:D165)-SUM($E$5:E165))</f>
        <v/>
      </c>
      <c r="G165" s="33" t="str">
        <f aca="false">IF(OR(A165="",AND(A165=A164)),"",SUMIFS($D$5:$D$504,$A$5:$A$504,A165))</f>
        <v/>
      </c>
      <c r="H165" s="33" t="str">
        <f aca="false">IF(OR(A165="",AND(A165=A164)),"",SUMIFS($E$5:$E$504,$A$5:$A$504,A165))</f>
        <v/>
      </c>
      <c r="I165" s="29"/>
      <c r="J165" s="34"/>
      <c r="K165" s="35"/>
    </row>
    <row r="166" customFormat="false" ht="15" hidden="false" customHeight="false" outlineLevel="0" collapsed="false">
      <c r="A166" s="32"/>
      <c r="B166" s="29"/>
      <c r="C166" s="29"/>
      <c r="D166" s="25"/>
      <c r="E166" s="25"/>
      <c r="F166" s="18" t="str">
        <f aca="false">IF(AND(D166="",E166=""),"",'Danh mục'!$F$5+SUM($D$5:D166)-SUM($E$5:E166))</f>
        <v/>
      </c>
      <c r="G166" s="33" t="str">
        <f aca="false">IF(OR(A166="",AND(A166=A165)),"",SUMIFS($D$5:$D$504,$A$5:$A$504,A166))</f>
        <v/>
      </c>
      <c r="H166" s="33" t="str">
        <f aca="false">IF(OR(A166="",AND(A166=A165)),"",SUMIFS($E$5:$E$504,$A$5:$A$504,A166))</f>
        <v/>
      </c>
      <c r="I166" s="29"/>
      <c r="J166" s="34"/>
      <c r="K166" s="35"/>
    </row>
    <row r="167" customFormat="false" ht="15" hidden="false" customHeight="false" outlineLevel="0" collapsed="false">
      <c r="A167" s="32"/>
      <c r="B167" s="29"/>
      <c r="C167" s="29"/>
      <c r="D167" s="25"/>
      <c r="E167" s="25"/>
      <c r="F167" s="18" t="str">
        <f aca="false">IF(AND(D167="",E167=""),"",'Danh mục'!$F$5+SUM($D$5:D167)-SUM($E$5:E167))</f>
        <v/>
      </c>
      <c r="G167" s="33" t="str">
        <f aca="false">IF(OR(A167="",AND(A167=A166)),"",SUMIFS($D$5:$D$504,$A$5:$A$504,A167))</f>
        <v/>
      </c>
      <c r="H167" s="33" t="str">
        <f aca="false">IF(OR(A167="",AND(A167=A166)),"",SUMIFS($E$5:$E$504,$A$5:$A$504,A167))</f>
        <v/>
      </c>
      <c r="I167" s="29"/>
      <c r="J167" s="34"/>
      <c r="K167" s="35"/>
    </row>
    <row r="168" customFormat="false" ht="15" hidden="false" customHeight="false" outlineLevel="0" collapsed="false">
      <c r="A168" s="32"/>
      <c r="B168" s="29"/>
      <c r="C168" s="29"/>
      <c r="D168" s="25"/>
      <c r="E168" s="25"/>
      <c r="F168" s="18" t="str">
        <f aca="false">IF(AND(D168="",E168=""),"",'Danh mục'!$F$5+SUM($D$5:D168)-SUM($E$5:E168))</f>
        <v/>
      </c>
      <c r="G168" s="33" t="str">
        <f aca="false">IF(OR(A168="",AND(A168=A167)),"",SUMIFS($D$5:$D$504,$A$5:$A$504,A168))</f>
        <v/>
      </c>
      <c r="H168" s="33" t="str">
        <f aca="false">IF(OR(A168="",AND(A168=A167)),"",SUMIFS($E$5:$E$504,$A$5:$A$504,A168))</f>
        <v/>
      </c>
      <c r="I168" s="29"/>
      <c r="J168" s="34"/>
      <c r="K168" s="35"/>
    </row>
    <row r="169" customFormat="false" ht="15" hidden="false" customHeight="false" outlineLevel="0" collapsed="false">
      <c r="A169" s="32"/>
      <c r="B169" s="29"/>
      <c r="C169" s="29"/>
      <c r="D169" s="25"/>
      <c r="E169" s="25"/>
      <c r="F169" s="18" t="str">
        <f aca="false">IF(AND(D169="",E169=""),"",'Danh mục'!$F$5+SUM($D$5:D169)-SUM($E$5:E169))</f>
        <v/>
      </c>
      <c r="G169" s="33" t="str">
        <f aca="false">IF(OR(A169="",AND(A169=A168)),"",SUMIFS($D$5:$D$504,$A$5:$A$504,A169))</f>
        <v/>
      </c>
      <c r="H169" s="33" t="str">
        <f aca="false">IF(OR(A169="",AND(A169=A168)),"",SUMIFS($E$5:$E$504,$A$5:$A$504,A169))</f>
        <v/>
      </c>
      <c r="I169" s="29"/>
      <c r="J169" s="34"/>
      <c r="K169" s="35"/>
    </row>
    <row r="170" customFormat="false" ht="15" hidden="false" customHeight="false" outlineLevel="0" collapsed="false">
      <c r="A170" s="32"/>
      <c r="B170" s="29"/>
      <c r="C170" s="29"/>
      <c r="D170" s="25"/>
      <c r="E170" s="25"/>
      <c r="F170" s="18" t="str">
        <f aca="false">IF(AND(D170="",E170=""),"",'Danh mục'!$F$5+SUM($D$5:D170)-SUM($E$5:E170))</f>
        <v/>
      </c>
      <c r="G170" s="33" t="str">
        <f aca="false">IF(OR(A170="",AND(A170=A169)),"",SUMIFS($D$5:$D$504,$A$5:$A$504,A170))</f>
        <v/>
      </c>
      <c r="H170" s="33" t="str">
        <f aca="false">IF(OR(A170="",AND(A170=A169)),"",SUMIFS($E$5:$E$504,$A$5:$A$504,A170))</f>
        <v/>
      </c>
      <c r="I170" s="29"/>
      <c r="J170" s="34"/>
      <c r="K170" s="35"/>
    </row>
    <row r="171" customFormat="false" ht="15" hidden="false" customHeight="false" outlineLevel="0" collapsed="false">
      <c r="A171" s="32"/>
      <c r="B171" s="29"/>
      <c r="C171" s="29"/>
      <c r="D171" s="25"/>
      <c r="E171" s="25"/>
      <c r="F171" s="18" t="str">
        <f aca="false">IF(AND(D171="",E171=""),"",'Danh mục'!$F$5+SUM($D$5:D171)-SUM($E$5:E171))</f>
        <v/>
      </c>
      <c r="G171" s="33" t="str">
        <f aca="false">IF(OR(A171="",AND(A171=A170)),"",SUMIFS($D$5:$D$504,$A$5:$A$504,A171))</f>
        <v/>
      </c>
      <c r="H171" s="33" t="str">
        <f aca="false">IF(OR(A171="",AND(A171=A170)),"",SUMIFS($E$5:$E$504,$A$5:$A$504,A171))</f>
        <v/>
      </c>
      <c r="I171" s="29"/>
      <c r="J171" s="34"/>
      <c r="K171" s="35"/>
    </row>
    <row r="172" customFormat="false" ht="15" hidden="false" customHeight="false" outlineLevel="0" collapsed="false">
      <c r="A172" s="32"/>
      <c r="B172" s="29"/>
      <c r="C172" s="29"/>
      <c r="D172" s="25"/>
      <c r="E172" s="25"/>
      <c r="F172" s="18" t="str">
        <f aca="false">IF(AND(D172="",E172=""),"",'Danh mục'!$F$5+SUM($D$5:D172)-SUM($E$5:E172))</f>
        <v/>
      </c>
      <c r="G172" s="33" t="str">
        <f aca="false">IF(OR(A172="",AND(A172=A171)),"",SUMIFS($D$5:$D$504,$A$5:$A$504,A172))</f>
        <v/>
      </c>
      <c r="H172" s="33" t="str">
        <f aca="false">IF(OR(A172="",AND(A172=A171)),"",SUMIFS($E$5:$E$504,$A$5:$A$504,A172))</f>
        <v/>
      </c>
      <c r="I172" s="29"/>
      <c r="J172" s="34"/>
      <c r="K172" s="35"/>
    </row>
    <row r="173" customFormat="false" ht="15" hidden="false" customHeight="false" outlineLevel="0" collapsed="false">
      <c r="A173" s="32"/>
      <c r="B173" s="29"/>
      <c r="C173" s="29"/>
      <c r="D173" s="25"/>
      <c r="E173" s="25"/>
      <c r="F173" s="18" t="str">
        <f aca="false">IF(AND(D173="",E173=""),"",'Danh mục'!$F$5+SUM($D$5:D173)-SUM($E$5:E173))</f>
        <v/>
      </c>
      <c r="G173" s="33" t="str">
        <f aca="false">IF(OR(A173="",AND(A173=A172)),"",SUMIFS($D$5:$D$504,$A$5:$A$504,A173))</f>
        <v/>
      </c>
      <c r="H173" s="33" t="str">
        <f aca="false">IF(OR(A173="",AND(A173=A172)),"",SUMIFS($E$5:$E$504,$A$5:$A$504,A173))</f>
        <v/>
      </c>
      <c r="I173" s="29"/>
      <c r="J173" s="34"/>
      <c r="K173" s="35"/>
    </row>
    <row r="174" customFormat="false" ht="15" hidden="false" customHeight="false" outlineLevel="0" collapsed="false">
      <c r="A174" s="32"/>
      <c r="B174" s="29"/>
      <c r="C174" s="29"/>
      <c r="D174" s="25"/>
      <c r="E174" s="25"/>
      <c r="F174" s="18" t="str">
        <f aca="false">IF(AND(D174="",E174=""),"",'Danh mục'!$F$5+SUM($D$5:D174)-SUM($E$5:E174))</f>
        <v/>
      </c>
      <c r="G174" s="33" t="str">
        <f aca="false">IF(OR(A174="",AND(A174=A173)),"",SUMIFS($D$5:$D$504,$A$5:$A$504,A174))</f>
        <v/>
      </c>
      <c r="H174" s="33" t="str">
        <f aca="false">IF(OR(A174="",AND(A174=A173)),"",SUMIFS($E$5:$E$504,$A$5:$A$504,A174))</f>
        <v/>
      </c>
      <c r="I174" s="29"/>
      <c r="J174" s="34"/>
      <c r="K174" s="35"/>
    </row>
    <row r="175" customFormat="false" ht="15" hidden="false" customHeight="false" outlineLevel="0" collapsed="false">
      <c r="A175" s="32"/>
      <c r="B175" s="29"/>
      <c r="C175" s="29"/>
      <c r="D175" s="25"/>
      <c r="E175" s="25"/>
      <c r="F175" s="18" t="str">
        <f aca="false">IF(AND(D175="",E175=""),"",'Danh mục'!$F$5+SUM($D$5:D175)-SUM($E$5:E175))</f>
        <v/>
      </c>
      <c r="G175" s="33" t="str">
        <f aca="false">IF(OR(A175="",AND(A175=A174)),"",SUMIFS($D$5:$D$504,$A$5:$A$504,A175))</f>
        <v/>
      </c>
      <c r="H175" s="33" t="str">
        <f aca="false">IF(OR(A175="",AND(A175=A174)),"",SUMIFS($E$5:$E$504,$A$5:$A$504,A175))</f>
        <v/>
      </c>
      <c r="I175" s="29"/>
      <c r="J175" s="34"/>
      <c r="K175" s="35"/>
    </row>
    <row r="176" customFormat="false" ht="15" hidden="false" customHeight="false" outlineLevel="0" collapsed="false">
      <c r="A176" s="32"/>
      <c r="B176" s="29"/>
      <c r="C176" s="29"/>
      <c r="D176" s="25"/>
      <c r="E176" s="25"/>
      <c r="F176" s="18" t="str">
        <f aca="false">IF(AND(D176="",E176=""),"",'Danh mục'!$F$5+SUM($D$5:D176)-SUM($E$5:E176))</f>
        <v/>
      </c>
      <c r="G176" s="33" t="str">
        <f aca="false">IF(OR(A176="",AND(A176=A175)),"",SUMIFS($D$5:$D$504,$A$5:$A$504,A176))</f>
        <v/>
      </c>
      <c r="H176" s="33" t="str">
        <f aca="false">IF(OR(A176="",AND(A176=A175)),"",SUMIFS($E$5:$E$504,$A$5:$A$504,A176))</f>
        <v/>
      </c>
      <c r="I176" s="29"/>
      <c r="J176" s="34"/>
      <c r="K176" s="35"/>
    </row>
    <row r="177" customFormat="false" ht="15" hidden="false" customHeight="false" outlineLevel="0" collapsed="false">
      <c r="A177" s="32"/>
      <c r="B177" s="29"/>
      <c r="C177" s="29"/>
      <c r="D177" s="25"/>
      <c r="E177" s="25"/>
      <c r="F177" s="18" t="str">
        <f aca="false">IF(AND(D177="",E177=""),"",'Danh mục'!$F$5+SUM($D$5:D177)-SUM($E$5:E177))</f>
        <v/>
      </c>
      <c r="G177" s="33" t="str">
        <f aca="false">IF(OR(A177="",AND(A177=A176)),"",SUMIFS($D$5:$D$504,$A$5:$A$504,A177))</f>
        <v/>
      </c>
      <c r="H177" s="33" t="str">
        <f aca="false">IF(OR(A177="",AND(A177=A176)),"",SUMIFS($E$5:$E$504,$A$5:$A$504,A177))</f>
        <v/>
      </c>
      <c r="I177" s="29"/>
      <c r="J177" s="34"/>
      <c r="K177" s="35"/>
    </row>
    <row r="178" customFormat="false" ht="15" hidden="false" customHeight="false" outlineLevel="0" collapsed="false">
      <c r="A178" s="32"/>
      <c r="B178" s="29"/>
      <c r="C178" s="29"/>
      <c r="D178" s="25"/>
      <c r="E178" s="25"/>
      <c r="F178" s="18" t="str">
        <f aca="false">IF(AND(D178="",E178=""),"",'Danh mục'!$F$5+SUM($D$5:D178)-SUM($E$5:E178))</f>
        <v/>
      </c>
      <c r="G178" s="33" t="str">
        <f aca="false">IF(OR(A178="",AND(A178=A177)),"",SUMIFS($D$5:$D$504,$A$5:$A$504,A178))</f>
        <v/>
      </c>
      <c r="H178" s="33" t="str">
        <f aca="false">IF(OR(A178="",AND(A178=A177)),"",SUMIFS($E$5:$E$504,$A$5:$A$504,A178))</f>
        <v/>
      </c>
      <c r="I178" s="29"/>
      <c r="J178" s="34"/>
      <c r="K178" s="35"/>
    </row>
    <row r="179" customFormat="false" ht="15" hidden="false" customHeight="false" outlineLevel="0" collapsed="false">
      <c r="A179" s="32"/>
      <c r="B179" s="29"/>
      <c r="C179" s="29"/>
      <c r="D179" s="25"/>
      <c r="E179" s="25"/>
      <c r="F179" s="18" t="str">
        <f aca="false">IF(AND(D179="",E179=""),"",'Danh mục'!$F$5+SUM($D$5:D179)-SUM($E$5:E179))</f>
        <v/>
      </c>
      <c r="G179" s="33" t="str">
        <f aca="false">IF(OR(A179="",AND(A179=A178)),"",SUMIFS($D$5:$D$504,$A$5:$A$504,A179))</f>
        <v/>
      </c>
      <c r="H179" s="33" t="str">
        <f aca="false">IF(OR(A179="",AND(A179=A178)),"",SUMIFS($E$5:$E$504,$A$5:$A$504,A179))</f>
        <v/>
      </c>
      <c r="I179" s="29"/>
      <c r="J179" s="34"/>
      <c r="K179" s="35"/>
    </row>
    <row r="180" customFormat="false" ht="15" hidden="false" customHeight="false" outlineLevel="0" collapsed="false">
      <c r="A180" s="32"/>
      <c r="B180" s="29"/>
      <c r="C180" s="29"/>
      <c r="D180" s="25"/>
      <c r="E180" s="25"/>
      <c r="F180" s="18" t="str">
        <f aca="false">IF(AND(D180="",E180=""),"",'Danh mục'!$F$5+SUM($D$5:D180)-SUM($E$5:E180))</f>
        <v/>
      </c>
      <c r="G180" s="33" t="str">
        <f aca="false">IF(OR(A180="",AND(A180=A179)),"",SUMIFS($D$5:$D$504,$A$5:$A$504,A180))</f>
        <v/>
      </c>
      <c r="H180" s="33" t="str">
        <f aca="false">IF(OR(A180="",AND(A180=A179)),"",SUMIFS($E$5:$E$504,$A$5:$A$504,A180))</f>
        <v/>
      </c>
      <c r="I180" s="29"/>
      <c r="J180" s="34"/>
      <c r="K180" s="35"/>
    </row>
    <row r="181" customFormat="false" ht="15" hidden="false" customHeight="false" outlineLevel="0" collapsed="false">
      <c r="A181" s="32"/>
      <c r="B181" s="29"/>
      <c r="C181" s="29"/>
      <c r="D181" s="25"/>
      <c r="E181" s="25"/>
      <c r="F181" s="18" t="str">
        <f aca="false">IF(AND(D181="",E181=""),"",'Danh mục'!$F$5+SUM($D$5:D181)-SUM($E$5:E181))</f>
        <v/>
      </c>
      <c r="G181" s="33" t="str">
        <f aca="false">IF(OR(A181="",AND(A181=A180)),"",SUMIFS($D$5:$D$504,$A$5:$A$504,A181))</f>
        <v/>
      </c>
      <c r="H181" s="33" t="str">
        <f aca="false">IF(OR(A181="",AND(A181=A180)),"",SUMIFS($E$5:$E$504,$A$5:$A$504,A181))</f>
        <v/>
      </c>
      <c r="I181" s="29"/>
      <c r="J181" s="34"/>
      <c r="K181" s="35"/>
    </row>
    <row r="182" customFormat="false" ht="15" hidden="false" customHeight="false" outlineLevel="0" collapsed="false">
      <c r="A182" s="32"/>
      <c r="B182" s="29"/>
      <c r="C182" s="29"/>
      <c r="D182" s="25"/>
      <c r="E182" s="25"/>
      <c r="F182" s="18" t="str">
        <f aca="false">IF(AND(D182="",E182=""),"",'Danh mục'!$F$5+SUM($D$5:D182)-SUM($E$5:E182))</f>
        <v/>
      </c>
      <c r="G182" s="33" t="str">
        <f aca="false">IF(OR(A182="",AND(A182=A181)),"",SUMIFS($D$5:$D$504,$A$5:$A$504,A182))</f>
        <v/>
      </c>
      <c r="H182" s="33" t="str">
        <f aca="false">IF(OR(A182="",AND(A182=A181)),"",SUMIFS($E$5:$E$504,$A$5:$A$504,A182))</f>
        <v/>
      </c>
      <c r="I182" s="29"/>
      <c r="J182" s="34"/>
      <c r="K182" s="35"/>
    </row>
    <row r="183" customFormat="false" ht="15" hidden="false" customHeight="false" outlineLevel="0" collapsed="false">
      <c r="A183" s="32"/>
      <c r="B183" s="29"/>
      <c r="C183" s="29"/>
      <c r="D183" s="25"/>
      <c r="E183" s="25"/>
      <c r="F183" s="18" t="str">
        <f aca="false">IF(AND(D183="",E183=""),"",'Danh mục'!$F$5+SUM($D$5:D183)-SUM($E$5:E183))</f>
        <v/>
      </c>
      <c r="G183" s="33" t="str">
        <f aca="false">IF(OR(A183="",AND(A183=A182)),"",SUMIFS($D$5:$D$504,$A$5:$A$504,A183))</f>
        <v/>
      </c>
      <c r="H183" s="33" t="str">
        <f aca="false">IF(OR(A183="",AND(A183=A182)),"",SUMIFS($E$5:$E$504,$A$5:$A$504,A183))</f>
        <v/>
      </c>
      <c r="I183" s="29"/>
      <c r="J183" s="34"/>
      <c r="K183" s="35"/>
    </row>
    <row r="184" customFormat="false" ht="15" hidden="false" customHeight="false" outlineLevel="0" collapsed="false">
      <c r="A184" s="32"/>
      <c r="B184" s="29"/>
      <c r="C184" s="29"/>
      <c r="D184" s="25"/>
      <c r="E184" s="25"/>
      <c r="F184" s="18" t="str">
        <f aca="false">IF(AND(D184="",E184=""),"",'Danh mục'!$F$5+SUM($D$5:D184)-SUM($E$5:E184))</f>
        <v/>
      </c>
      <c r="G184" s="33" t="str">
        <f aca="false">IF(OR(A184="",AND(A184=A183)),"",SUMIFS($D$5:$D$504,$A$5:$A$504,A184))</f>
        <v/>
      </c>
      <c r="H184" s="33" t="str">
        <f aca="false">IF(OR(A184="",AND(A184=A183)),"",SUMIFS($E$5:$E$504,$A$5:$A$504,A184))</f>
        <v/>
      </c>
      <c r="I184" s="29"/>
      <c r="J184" s="34"/>
      <c r="K184" s="35"/>
    </row>
    <row r="185" customFormat="false" ht="15" hidden="false" customHeight="false" outlineLevel="0" collapsed="false">
      <c r="A185" s="32"/>
      <c r="B185" s="29"/>
      <c r="C185" s="29"/>
      <c r="D185" s="25"/>
      <c r="E185" s="25"/>
      <c r="F185" s="18" t="str">
        <f aca="false">IF(AND(D185="",E185=""),"",'Danh mục'!$F$5+SUM($D$5:D185)-SUM($E$5:E185))</f>
        <v/>
      </c>
      <c r="G185" s="33" t="str">
        <f aca="false">IF(OR(A185="",AND(A185=A184)),"",SUMIFS($D$5:$D$504,$A$5:$A$504,A185))</f>
        <v/>
      </c>
      <c r="H185" s="33" t="str">
        <f aca="false">IF(OR(A185="",AND(A185=A184)),"",SUMIFS($E$5:$E$504,$A$5:$A$504,A185))</f>
        <v/>
      </c>
      <c r="I185" s="29"/>
      <c r="J185" s="34"/>
      <c r="K185" s="35"/>
    </row>
    <row r="186" customFormat="false" ht="15" hidden="false" customHeight="false" outlineLevel="0" collapsed="false">
      <c r="A186" s="32"/>
      <c r="B186" s="29"/>
      <c r="C186" s="29"/>
      <c r="D186" s="25"/>
      <c r="E186" s="25"/>
      <c r="F186" s="18" t="str">
        <f aca="false">IF(AND(D186="",E186=""),"",'Danh mục'!$F$5+SUM($D$5:D186)-SUM($E$5:E186))</f>
        <v/>
      </c>
      <c r="G186" s="33" t="str">
        <f aca="false">IF(OR(A186="",AND(A186=A185)),"",SUMIFS($D$5:$D$504,$A$5:$A$504,A186))</f>
        <v/>
      </c>
      <c r="H186" s="33" t="str">
        <f aca="false">IF(OR(A186="",AND(A186=A185)),"",SUMIFS($E$5:$E$504,$A$5:$A$504,A186))</f>
        <v/>
      </c>
      <c r="I186" s="29"/>
      <c r="J186" s="34"/>
      <c r="K186" s="35"/>
    </row>
    <row r="187" customFormat="false" ht="15" hidden="false" customHeight="false" outlineLevel="0" collapsed="false">
      <c r="A187" s="32"/>
      <c r="B187" s="29"/>
      <c r="C187" s="29"/>
      <c r="D187" s="25"/>
      <c r="E187" s="25"/>
      <c r="F187" s="18" t="str">
        <f aca="false">IF(AND(D187="",E187=""),"",'Danh mục'!$F$5+SUM($D$5:D187)-SUM($E$5:E187))</f>
        <v/>
      </c>
      <c r="G187" s="33" t="str">
        <f aca="false">IF(OR(A187="",AND(A187=A186)),"",SUMIFS($D$5:$D$504,$A$5:$A$504,A187))</f>
        <v/>
      </c>
      <c r="H187" s="33" t="str">
        <f aca="false">IF(OR(A187="",AND(A187=A186)),"",SUMIFS($E$5:$E$504,$A$5:$A$504,A187))</f>
        <v/>
      </c>
      <c r="I187" s="29"/>
      <c r="J187" s="34"/>
      <c r="K187" s="35"/>
    </row>
    <row r="188" customFormat="false" ht="15" hidden="false" customHeight="false" outlineLevel="0" collapsed="false">
      <c r="A188" s="32"/>
      <c r="B188" s="29"/>
      <c r="C188" s="29"/>
      <c r="D188" s="25"/>
      <c r="E188" s="25"/>
      <c r="F188" s="18" t="str">
        <f aca="false">IF(AND(D188="",E188=""),"",'Danh mục'!$F$5+SUM($D$5:D188)-SUM($E$5:E188))</f>
        <v/>
      </c>
      <c r="G188" s="33" t="str">
        <f aca="false">IF(OR(A188="",AND(A188=A187)),"",SUMIFS($D$5:$D$504,$A$5:$A$504,A188))</f>
        <v/>
      </c>
      <c r="H188" s="33" t="str">
        <f aca="false">IF(OR(A188="",AND(A188=A187)),"",SUMIFS($E$5:$E$504,$A$5:$A$504,A188))</f>
        <v/>
      </c>
      <c r="I188" s="29"/>
      <c r="J188" s="34"/>
      <c r="K188" s="35"/>
    </row>
    <row r="189" customFormat="false" ht="15" hidden="false" customHeight="false" outlineLevel="0" collapsed="false">
      <c r="A189" s="32"/>
      <c r="B189" s="29"/>
      <c r="C189" s="29"/>
      <c r="D189" s="25"/>
      <c r="E189" s="25"/>
      <c r="F189" s="18" t="str">
        <f aca="false">IF(AND(D189="",E189=""),"",'Danh mục'!$F$5+SUM($D$5:D189)-SUM($E$5:E189))</f>
        <v/>
      </c>
      <c r="G189" s="33" t="str">
        <f aca="false">IF(OR(A189="",AND(A189=A188)),"",SUMIFS($D$5:$D$504,$A$5:$A$504,A189))</f>
        <v/>
      </c>
      <c r="H189" s="33" t="str">
        <f aca="false">IF(OR(A189="",AND(A189=A188)),"",SUMIFS($E$5:$E$504,$A$5:$A$504,A189))</f>
        <v/>
      </c>
      <c r="I189" s="29"/>
      <c r="J189" s="34"/>
      <c r="K189" s="35"/>
    </row>
    <row r="190" customFormat="false" ht="15" hidden="false" customHeight="false" outlineLevel="0" collapsed="false">
      <c r="A190" s="32"/>
      <c r="B190" s="29"/>
      <c r="C190" s="29"/>
      <c r="D190" s="25"/>
      <c r="E190" s="25"/>
      <c r="F190" s="18" t="str">
        <f aca="false">IF(AND(D190="",E190=""),"",'Danh mục'!$F$5+SUM($D$5:D190)-SUM($E$5:E190))</f>
        <v/>
      </c>
      <c r="G190" s="33" t="str">
        <f aca="false">IF(OR(A190="",AND(A190=A189)),"",SUMIFS($D$5:$D$504,$A$5:$A$504,A190))</f>
        <v/>
      </c>
      <c r="H190" s="33" t="str">
        <f aca="false">IF(OR(A190="",AND(A190=A189)),"",SUMIFS($E$5:$E$504,$A$5:$A$504,A190))</f>
        <v/>
      </c>
      <c r="I190" s="29"/>
      <c r="J190" s="34"/>
      <c r="K190" s="35"/>
    </row>
    <row r="191" customFormat="false" ht="15" hidden="false" customHeight="false" outlineLevel="0" collapsed="false">
      <c r="A191" s="32"/>
      <c r="B191" s="29"/>
      <c r="C191" s="29"/>
      <c r="D191" s="25"/>
      <c r="E191" s="25"/>
      <c r="F191" s="18" t="str">
        <f aca="false">IF(AND(D191="",E191=""),"",'Danh mục'!$F$5+SUM($D$5:D191)-SUM($E$5:E191))</f>
        <v/>
      </c>
      <c r="G191" s="33" t="str">
        <f aca="false">IF(OR(A191="",AND(A191=A190)),"",SUMIFS($D$5:$D$504,$A$5:$A$504,A191))</f>
        <v/>
      </c>
      <c r="H191" s="33" t="str">
        <f aca="false">IF(OR(A191="",AND(A191=A190)),"",SUMIFS($E$5:$E$504,$A$5:$A$504,A191))</f>
        <v/>
      </c>
      <c r="I191" s="29"/>
      <c r="J191" s="34"/>
      <c r="K191" s="35"/>
    </row>
    <row r="192" customFormat="false" ht="15" hidden="false" customHeight="false" outlineLevel="0" collapsed="false">
      <c r="A192" s="32"/>
      <c r="B192" s="29"/>
      <c r="C192" s="29"/>
      <c r="D192" s="25"/>
      <c r="E192" s="25"/>
      <c r="F192" s="18" t="str">
        <f aca="false">IF(AND(D192="",E192=""),"",'Danh mục'!$F$5+SUM($D$5:D192)-SUM($E$5:E192))</f>
        <v/>
      </c>
      <c r="G192" s="33" t="str">
        <f aca="false">IF(OR(A192="",AND(A192=A191)),"",SUMIFS($D$5:$D$504,$A$5:$A$504,A192))</f>
        <v/>
      </c>
      <c r="H192" s="33" t="str">
        <f aca="false">IF(OR(A192="",AND(A192=A191)),"",SUMIFS($E$5:$E$504,$A$5:$A$504,A192))</f>
        <v/>
      </c>
      <c r="I192" s="29"/>
      <c r="J192" s="34"/>
      <c r="K192" s="35"/>
    </row>
    <row r="193" customFormat="false" ht="15" hidden="false" customHeight="false" outlineLevel="0" collapsed="false">
      <c r="A193" s="32"/>
      <c r="B193" s="29"/>
      <c r="C193" s="29"/>
      <c r="D193" s="25"/>
      <c r="E193" s="25"/>
      <c r="F193" s="18" t="str">
        <f aca="false">IF(AND(D193="",E193=""),"",'Danh mục'!$F$5+SUM($D$5:D193)-SUM($E$5:E193))</f>
        <v/>
      </c>
      <c r="G193" s="33" t="str">
        <f aca="false">IF(OR(A193="",AND(A193=A192)),"",SUMIFS($D$5:$D$504,$A$5:$A$504,A193))</f>
        <v/>
      </c>
      <c r="H193" s="33" t="str">
        <f aca="false">IF(OR(A193="",AND(A193=A192)),"",SUMIFS($E$5:$E$504,$A$5:$A$504,A193))</f>
        <v/>
      </c>
      <c r="I193" s="29"/>
      <c r="J193" s="34"/>
      <c r="K193" s="35"/>
    </row>
    <row r="194" customFormat="false" ht="15" hidden="false" customHeight="false" outlineLevel="0" collapsed="false">
      <c r="A194" s="32"/>
      <c r="B194" s="29"/>
      <c r="C194" s="29"/>
      <c r="D194" s="25"/>
      <c r="E194" s="25"/>
      <c r="F194" s="18" t="str">
        <f aca="false">IF(AND(D194="",E194=""),"",'Danh mục'!$F$5+SUM($D$5:D194)-SUM($E$5:E194))</f>
        <v/>
      </c>
      <c r="G194" s="33" t="str">
        <f aca="false">IF(OR(A194="",AND(A194=A193)),"",SUMIFS($D$5:$D$504,$A$5:$A$504,A194))</f>
        <v/>
      </c>
      <c r="H194" s="33" t="str">
        <f aca="false">IF(OR(A194="",AND(A194=A193)),"",SUMIFS($E$5:$E$504,$A$5:$A$504,A194))</f>
        <v/>
      </c>
      <c r="I194" s="29"/>
      <c r="J194" s="34"/>
      <c r="K194" s="35"/>
    </row>
    <row r="195" customFormat="false" ht="15" hidden="false" customHeight="false" outlineLevel="0" collapsed="false">
      <c r="A195" s="32"/>
      <c r="B195" s="29"/>
      <c r="C195" s="29"/>
      <c r="D195" s="25"/>
      <c r="E195" s="25"/>
      <c r="F195" s="18" t="str">
        <f aca="false">IF(AND(D195="",E195=""),"",'Danh mục'!$F$5+SUM($D$5:D195)-SUM($E$5:E195))</f>
        <v/>
      </c>
      <c r="G195" s="33" t="str">
        <f aca="false">IF(OR(A195="",AND(A195=A194)),"",SUMIFS($D$5:$D$504,$A$5:$A$504,A195))</f>
        <v/>
      </c>
      <c r="H195" s="33" t="str">
        <f aca="false">IF(OR(A195="",AND(A195=A194)),"",SUMIFS($E$5:$E$504,$A$5:$A$504,A195))</f>
        <v/>
      </c>
      <c r="I195" s="29"/>
      <c r="J195" s="34"/>
      <c r="K195" s="35"/>
    </row>
    <row r="196" customFormat="false" ht="15" hidden="false" customHeight="false" outlineLevel="0" collapsed="false">
      <c r="A196" s="32"/>
      <c r="B196" s="29"/>
      <c r="C196" s="29"/>
      <c r="D196" s="25"/>
      <c r="E196" s="25"/>
      <c r="F196" s="18" t="str">
        <f aca="false">IF(AND(D196="",E196=""),"",'Danh mục'!$F$5+SUM($D$5:D196)-SUM($E$5:E196))</f>
        <v/>
      </c>
      <c r="G196" s="33" t="str">
        <f aca="false">IF(OR(A196="",AND(A196=A195)),"",SUMIFS($D$5:$D$504,$A$5:$A$504,A196))</f>
        <v/>
      </c>
      <c r="H196" s="33" t="str">
        <f aca="false">IF(OR(A196="",AND(A196=A195)),"",SUMIFS($E$5:$E$504,$A$5:$A$504,A196))</f>
        <v/>
      </c>
      <c r="I196" s="29"/>
      <c r="J196" s="34"/>
      <c r="K196" s="35"/>
    </row>
    <row r="197" customFormat="false" ht="15" hidden="false" customHeight="false" outlineLevel="0" collapsed="false">
      <c r="A197" s="32"/>
      <c r="B197" s="29"/>
      <c r="C197" s="29"/>
      <c r="D197" s="25"/>
      <c r="E197" s="25"/>
      <c r="F197" s="18" t="str">
        <f aca="false">IF(AND(D197="",E197=""),"",'Danh mục'!$F$5+SUM($D$5:D197)-SUM($E$5:E197))</f>
        <v/>
      </c>
      <c r="G197" s="33" t="str">
        <f aca="false">IF(OR(A197="",AND(A197=A196)),"",SUMIFS($D$5:$D$504,$A$5:$A$504,A197))</f>
        <v/>
      </c>
      <c r="H197" s="33" t="str">
        <f aca="false">IF(OR(A197="",AND(A197=A196)),"",SUMIFS($E$5:$E$504,$A$5:$A$504,A197))</f>
        <v/>
      </c>
      <c r="I197" s="29"/>
      <c r="J197" s="34"/>
      <c r="K197" s="35"/>
    </row>
    <row r="198" customFormat="false" ht="15" hidden="false" customHeight="false" outlineLevel="0" collapsed="false">
      <c r="A198" s="32"/>
      <c r="B198" s="29"/>
      <c r="C198" s="29"/>
      <c r="D198" s="25"/>
      <c r="E198" s="25"/>
      <c r="F198" s="18" t="str">
        <f aca="false">IF(AND(D198="",E198=""),"",'Danh mục'!$F$5+SUM($D$5:D198)-SUM($E$5:E198))</f>
        <v/>
      </c>
      <c r="G198" s="33" t="str">
        <f aca="false">IF(OR(A198="",AND(A198=A197)),"",SUMIFS($D$5:$D$504,$A$5:$A$504,A198))</f>
        <v/>
      </c>
      <c r="H198" s="33" t="str">
        <f aca="false">IF(OR(A198="",AND(A198=A197)),"",SUMIFS($E$5:$E$504,$A$5:$A$504,A198))</f>
        <v/>
      </c>
      <c r="I198" s="29"/>
      <c r="J198" s="34"/>
      <c r="K198" s="35"/>
    </row>
    <row r="199" customFormat="false" ht="15" hidden="false" customHeight="false" outlineLevel="0" collapsed="false">
      <c r="A199" s="32"/>
      <c r="B199" s="29"/>
      <c r="C199" s="29"/>
      <c r="D199" s="25"/>
      <c r="E199" s="25"/>
      <c r="F199" s="18" t="str">
        <f aca="false">IF(AND(D199="",E199=""),"",'Danh mục'!$F$5+SUM($D$5:D199)-SUM($E$5:E199))</f>
        <v/>
      </c>
      <c r="G199" s="33" t="str">
        <f aca="false">IF(OR(A199="",AND(A199=A198)),"",SUMIFS($D$5:$D$504,$A$5:$A$504,A199))</f>
        <v/>
      </c>
      <c r="H199" s="33" t="str">
        <f aca="false">IF(OR(A199="",AND(A199=A198)),"",SUMIFS($E$5:$E$504,$A$5:$A$504,A199))</f>
        <v/>
      </c>
      <c r="I199" s="29"/>
      <c r="J199" s="34"/>
      <c r="K199" s="35"/>
    </row>
    <row r="200" customFormat="false" ht="15" hidden="false" customHeight="false" outlineLevel="0" collapsed="false">
      <c r="A200" s="32"/>
      <c r="B200" s="29"/>
      <c r="C200" s="29"/>
      <c r="D200" s="25"/>
      <c r="E200" s="25"/>
      <c r="F200" s="18" t="str">
        <f aca="false">IF(AND(D200="",E200=""),"",'Danh mục'!$F$5+SUM($D$5:D200)-SUM($E$5:E200))</f>
        <v/>
      </c>
      <c r="G200" s="33" t="str">
        <f aca="false">IF(OR(A200="",AND(A200=A199)),"",SUMIFS($D$5:$D$504,$A$5:$A$504,A200))</f>
        <v/>
      </c>
      <c r="H200" s="33" t="str">
        <f aca="false">IF(OR(A200="",AND(A200=A199)),"",SUMIFS($E$5:$E$504,$A$5:$A$504,A200))</f>
        <v/>
      </c>
      <c r="I200" s="29"/>
      <c r="J200" s="34"/>
      <c r="K200" s="35"/>
    </row>
    <row r="201" customFormat="false" ht="15" hidden="false" customHeight="false" outlineLevel="0" collapsed="false">
      <c r="A201" s="32"/>
      <c r="B201" s="29"/>
      <c r="C201" s="29"/>
      <c r="D201" s="25"/>
      <c r="E201" s="25"/>
      <c r="F201" s="18" t="str">
        <f aca="false">IF(AND(D201="",E201=""),"",'Danh mục'!$F$5+SUM($D$5:D201)-SUM($E$5:E201))</f>
        <v/>
      </c>
      <c r="G201" s="33" t="str">
        <f aca="false">IF(OR(A201="",AND(A201=A200)),"",SUMIFS($D$5:$D$504,$A$5:$A$504,A201))</f>
        <v/>
      </c>
      <c r="H201" s="33" t="str">
        <f aca="false">IF(OR(A201="",AND(A201=A200)),"",SUMIFS($E$5:$E$504,$A$5:$A$504,A201))</f>
        <v/>
      </c>
      <c r="I201" s="29"/>
      <c r="J201" s="34"/>
      <c r="K201" s="35"/>
    </row>
    <row r="202" customFormat="false" ht="15" hidden="false" customHeight="false" outlineLevel="0" collapsed="false">
      <c r="A202" s="32"/>
      <c r="B202" s="29"/>
      <c r="C202" s="29"/>
      <c r="D202" s="25"/>
      <c r="E202" s="25"/>
      <c r="F202" s="18" t="str">
        <f aca="false">IF(AND(D202="",E202=""),"",'Danh mục'!$F$5+SUM($D$5:D202)-SUM($E$5:E202))</f>
        <v/>
      </c>
      <c r="G202" s="33" t="str">
        <f aca="false">IF(OR(A202="",AND(A202=A201)),"",SUMIFS($D$5:$D$504,$A$5:$A$504,A202))</f>
        <v/>
      </c>
      <c r="H202" s="33" t="str">
        <f aca="false">IF(OR(A202="",AND(A202=A201)),"",SUMIFS($E$5:$E$504,$A$5:$A$504,A202))</f>
        <v/>
      </c>
      <c r="I202" s="29"/>
      <c r="J202" s="34"/>
      <c r="K202" s="35"/>
    </row>
    <row r="203" customFormat="false" ht="15" hidden="false" customHeight="false" outlineLevel="0" collapsed="false">
      <c r="A203" s="32"/>
      <c r="B203" s="29"/>
      <c r="C203" s="29"/>
      <c r="D203" s="25"/>
      <c r="E203" s="25"/>
      <c r="F203" s="18" t="str">
        <f aca="false">IF(AND(D203="",E203=""),"",'Danh mục'!$F$5+SUM($D$5:D203)-SUM($E$5:E203))</f>
        <v/>
      </c>
      <c r="G203" s="33" t="str">
        <f aca="false">IF(OR(A203="",AND(A203=A202)),"",SUMIFS($D$5:$D$504,$A$5:$A$504,A203))</f>
        <v/>
      </c>
      <c r="H203" s="33" t="str">
        <f aca="false">IF(OR(A203="",AND(A203=A202)),"",SUMIFS($E$5:$E$504,$A$5:$A$504,A203))</f>
        <v/>
      </c>
      <c r="I203" s="29"/>
      <c r="J203" s="34"/>
      <c r="K203" s="35"/>
    </row>
    <row r="204" customFormat="false" ht="15" hidden="false" customHeight="false" outlineLevel="0" collapsed="false">
      <c r="A204" s="32"/>
      <c r="B204" s="29"/>
      <c r="C204" s="29"/>
      <c r="D204" s="25"/>
      <c r="E204" s="25"/>
      <c r="F204" s="18" t="str">
        <f aca="false">IF(AND(D204="",E204=""),"",'Danh mục'!$F$5+SUM($D$5:D204)-SUM($E$5:E204))</f>
        <v/>
      </c>
      <c r="G204" s="33" t="str">
        <f aca="false">IF(OR(A204="",AND(A204=A203)),"",SUMIFS($D$5:$D$504,$A$5:$A$504,A204))</f>
        <v/>
      </c>
      <c r="H204" s="33" t="str">
        <f aca="false">IF(OR(A204="",AND(A204=A203)),"",SUMIFS($E$5:$E$504,$A$5:$A$504,A204))</f>
        <v/>
      </c>
      <c r="I204" s="29"/>
      <c r="J204" s="34"/>
      <c r="K204" s="35"/>
    </row>
    <row r="205" customFormat="false" ht="15" hidden="false" customHeight="false" outlineLevel="0" collapsed="false">
      <c r="A205" s="32"/>
      <c r="B205" s="29"/>
      <c r="C205" s="29"/>
      <c r="D205" s="25"/>
      <c r="E205" s="25"/>
      <c r="F205" s="18" t="str">
        <f aca="false">IF(AND(D205="",E205=""),"",'Danh mục'!$F$5+SUM($D$5:D205)-SUM($E$5:E205))</f>
        <v/>
      </c>
      <c r="G205" s="33" t="str">
        <f aca="false">IF(OR(A205="",AND(A205=A204)),"",SUMIFS($D$5:$D$504,$A$5:$A$504,A205))</f>
        <v/>
      </c>
      <c r="H205" s="33" t="str">
        <f aca="false">IF(OR(A205="",AND(A205=A204)),"",SUMIFS($E$5:$E$504,$A$5:$A$504,A205))</f>
        <v/>
      </c>
      <c r="I205" s="29"/>
      <c r="J205" s="34"/>
      <c r="K205" s="35"/>
    </row>
    <row r="206" customFormat="false" ht="15" hidden="false" customHeight="false" outlineLevel="0" collapsed="false">
      <c r="A206" s="32"/>
      <c r="B206" s="29"/>
      <c r="C206" s="29"/>
      <c r="D206" s="25"/>
      <c r="E206" s="25"/>
      <c r="F206" s="18" t="str">
        <f aca="false">IF(AND(D206="",E206=""),"",'Danh mục'!$F$5+SUM($D$5:D206)-SUM($E$5:E206))</f>
        <v/>
      </c>
      <c r="G206" s="33" t="str">
        <f aca="false">IF(OR(A206="",AND(A206=A205)),"",SUMIFS($D$5:$D$504,$A$5:$A$504,A206))</f>
        <v/>
      </c>
      <c r="H206" s="33" t="str">
        <f aca="false">IF(OR(A206="",AND(A206=A205)),"",SUMIFS($E$5:$E$504,$A$5:$A$504,A206))</f>
        <v/>
      </c>
      <c r="I206" s="29"/>
      <c r="J206" s="34"/>
      <c r="K206" s="35"/>
    </row>
    <row r="207" customFormat="false" ht="15" hidden="false" customHeight="false" outlineLevel="0" collapsed="false">
      <c r="A207" s="32"/>
      <c r="B207" s="29"/>
      <c r="C207" s="29"/>
      <c r="D207" s="25"/>
      <c r="E207" s="25"/>
      <c r="F207" s="18" t="str">
        <f aca="false">IF(AND(D207="",E207=""),"",'Danh mục'!$F$5+SUM($D$5:D207)-SUM($E$5:E207))</f>
        <v/>
      </c>
      <c r="G207" s="33" t="str">
        <f aca="false">IF(OR(A207="",AND(A207=A206)),"",SUMIFS($D$5:$D$504,$A$5:$A$504,A207))</f>
        <v/>
      </c>
      <c r="H207" s="33" t="str">
        <f aca="false">IF(OR(A207="",AND(A207=A206)),"",SUMIFS($E$5:$E$504,$A$5:$A$504,A207))</f>
        <v/>
      </c>
      <c r="I207" s="29"/>
      <c r="J207" s="34"/>
      <c r="K207" s="35"/>
    </row>
    <row r="208" customFormat="false" ht="15" hidden="false" customHeight="false" outlineLevel="0" collapsed="false">
      <c r="A208" s="32"/>
      <c r="B208" s="29"/>
      <c r="C208" s="29"/>
      <c r="D208" s="25"/>
      <c r="E208" s="25"/>
      <c r="F208" s="18" t="str">
        <f aca="false">IF(AND(D208="",E208=""),"",'Danh mục'!$F$5+SUM($D$5:D208)-SUM($E$5:E208))</f>
        <v/>
      </c>
      <c r="G208" s="33" t="str">
        <f aca="false">IF(OR(A208="",AND(A208=A207)),"",SUMIFS($D$5:$D$504,$A$5:$A$504,A208))</f>
        <v/>
      </c>
      <c r="H208" s="33" t="str">
        <f aca="false">IF(OR(A208="",AND(A208=A207)),"",SUMIFS($E$5:$E$504,$A$5:$A$504,A208))</f>
        <v/>
      </c>
      <c r="I208" s="29"/>
      <c r="J208" s="34"/>
      <c r="K208" s="35"/>
    </row>
    <row r="209" customFormat="false" ht="15" hidden="false" customHeight="false" outlineLevel="0" collapsed="false">
      <c r="A209" s="32"/>
      <c r="B209" s="29"/>
      <c r="C209" s="29"/>
      <c r="D209" s="25"/>
      <c r="E209" s="25"/>
      <c r="F209" s="18" t="str">
        <f aca="false">IF(AND(D209="",E209=""),"",'Danh mục'!$F$5+SUM($D$5:D209)-SUM($E$5:E209))</f>
        <v/>
      </c>
      <c r="G209" s="33" t="str">
        <f aca="false">IF(OR(A209="",AND(A209=A208)),"",SUMIFS($D$5:$D$504,$A$5:$A$504,A209))</f>
        <v/>
      </c>
      <c r="H209" s="33" t="str">
        <f aca="false">IF(OR(A209="",AND(A209=A208)),"",SUMIFS($E$5:$E$504,$A$5:$A$504,A209))</f>
        <v/>
      </c>
      <c r="I209" s="29"/>
      <c r="J209" s="34"/>
      <c r="K209" s="35"/>
    </row>
    <row r="210" customFormat="false" ht="15" hidden="false" customHeight="false" outlineLevel="0" collapsed="false">
      <c r="A210" s="32"/>
      <c r="B210" s="29"/>
      <c r="C210" s="29"/>
      <c r="D210" s="25"/>
      <c r="E210" s="25"/>
      <c r="F210" s="18" t="str">
        <f aca="false">IF(AND(D210="",E210=""),"",'Danh mục'!$F$5+SUM($D$5:D210)-SUM($E$5:E210))</f>
        <v/>
      </c>
      <c r="G210" s="33" t="str">
        <f aca="false">IF(OR(A210="",AND(A210=A209)),"",SUMIFS($D$5:$D$504,$A$5:$A$504,A210))</f>
        <v/>
      </c>
      <c r="H210" s="33" t="str">
        <f aca="false">IF(OR(A210="",AND(A210=A209)),"",SUMIFS($E$5:$E$504,$A$5:$A$504,A210))</f>
        <v/>
      </c>
      <c r="I210" s="29"/>
      <c r="J210" s="34"/>
      <c r="K210" s="35"/>
    </row>
    <row r="211" customFormat="false" ht="15" hidden="false" customHeight="false" outlineLevel="0" collapsed="false">
      <c r="A211" s="32"/>
      <c r="B211" s="29"/>
      <c r="C211" s="29"/>
      <c r="D211" s="25"/>
      <c r="E211" s="25"/>
      <c r="F211" s="18" t="str">
        <f aca="false">IF(AND(D211="",E211=""),"",'Danh mục'!$F$5+SUM($D$5:D211)-SUM($E$5:E211))</f>
        <v/>
      </c>
      <c r="G211" s="33" t="str">
        <f aca="false">IF(OR(A211="",AND(A211=A210)),"",SUMIFS($D$5:$D$504,$A$5:$A$504,A211))</f>
        <v/>
      </c>
      <c r="H211" s="33" t="str">
        <f aca="false">IF(OR(A211="",AND(A211=A210)),"",SUMIFS($E$5:$E$504,$A$5:$A$504,A211))</f>
        <v/>
      </c>
      <c r="I211" s="29"/>
      <c r="J211" s="34"/>
      <c r="K211" s="35"/>
    </row>
    <row r="212" customFormat="false" ht="15" hidden="false" customHeight="false" outlineLevel="0" collapsed="false">
      <c r="A212" s="32"/>
      <c r="B212" s="29"/>
      <c r="C212" s="29"/>
      <c r="D212" s="25"/>
      <c r="E212" s="25"/>
      <c r="F212" s="18" t="str">
        <f aca="false">IF(AND(D212="",E212=""),"",'Danh mục'!$F$5+SUM($D$5:D212)-SUM($E$5:E212))</f>
        <v/>
      </c>
      <c r="G212" s="33" t="str">
        <f aca="false">IF(OR(A212="",AND(A212=A211)),"",SUMIFS($D$5:$D$504,$A$5:$A$504,A212))</f>
        <v/>
      </c>
      <c r="H212" s="33" t="str">
        <f aca="false">IF(OR(A212="",AND(A212=A211)),"",SUMIFS($E$5:$E$504,$A$5:$A$504,A212))</f>
        <v/>
      </c>
      <c r="I212" s="29"/>
      <c r="J212" s="34"/>
      <c r="K212" s="35"/>
    </row>
    <row r="213" customFormat="false" ht="15" hidden="false" customHeight="false" outlineLevel="0" collapsed="false">
      <c r="A213" s="32"/>
      <c r="B213" s="29"/>
      <c r="C213" s="29"/>
      <c r="D213" s="25"/>
      <c r="E213" s="25"/>
      <c r="F213" s="18" t="str">
        <f aca="false">IF(AND(D213="",E213=""),"",'Danh mục'!$F$5+SUM($D$5:D213)-SUM($E$5:E213))</f>
        <v/>
      </c>
      <c r="G213" s="33" t="str">
        <f aca="false">IF(OR(A213="",AND(A213=A212)),"",SUMIFS($D$5:$D$504,$A$5:$A$504,A213))</f>
        <v/>
      </c>
      <c r="H213" s="33" t="str">
        <f aca="false">IF(OR(A213="",AND(A213=A212)),"",SUMIFS($E$5:$E$504,$A$5:$A$504,A213))</f>
        <v/>
      </c>
      <c r="I213" s="29"/>
      <c r="J213" s="34"/>
      <c r="K213" s="35"/>
    </row>
    <row r="214" customFormat="false" ht="15" hidden="false" customHeight="false" outlineLevel="0" collapsed="false">
      <c r="A214" s="32"/>
      <c r="B214" s="29"/>
      <c r="C214" s="29"/>
      <c r="D214" s="25"/>
      <c r="E214" s="25"/>
      <c r="F214" s="18" t="str">
        <f aca="false">IF(AND(D214="",E214=""),"",'Danh mục'!$F$5+SUM($D$5:D214)-SUM($E$5:E214))</f>
        <v/>
      </c>
      <c r="G214" s="33" t="str">
        <f aca="false">IF(OR(A214="",AND(A214=A213)),"",SUMIFS($D$5:$D$504,$A$5:$A$504,A214))</f>
        <v/>
      </c>
      <c r="H214" s="33" t="str">
        <f aca="false">IF(OR(A214="",AND(A214=A213)),"",SUMIFS($E$5:$E$504,$A$5:$A$504,A214))</f>
        <v/>
      </c>
      <c r="I214" s="29"/>
      <c r="J214" s="34"/>
      <c r="K214" s="35"/>
    </row>
    <row r="215" customFormat="false" ht="15" hidden="false" customHeight="false" outlineLevel="0" collapsed="false">
      <c r="A215" s="32"/>
      <c r="B215" s="29"/>
      <c r="C215" s="29"/>
      <c r="D215" s="25"/>
      <c r="E215" s="25"/>
      <c r="F215" s="18" t="str">
        <f aca="false">IF(AND(D215="",E215=""),"",'Danh mục'!$F$5+SUM($D$5:D215)-SUM($E$5:E215))</f>
        <v/>
      </c>
      <c r="G215" s="33" t="str">
        <f aca="false">IF(OR(A215="",AND(A215=A214)),"",SUMIFS($D$5:$D$504,$A$5:$A$504,A215))</f>
        <v/>
      </c>
      <c r="H215" s="33" t="str">
        <f aca="false">IF(OR(A215="",AND(A215=A214)),"",SUMIFS($E$5:$E$504,$A$5:$A$504,A215))</f>
        <v/>
      </c>
      <c r="I215" s="29"/>
      <c r="J215" s="34"/>
      <c r="K215" s="35"/>
    </row>
    <row r="216" customFormat="false" ht="15" hidden="false" customHeight="false" outlineLevel="0" collapsed="false">
      <c r="A216" s="32"/>
      <c r="B216" s="29"/>
      <c r="C216" s="29"/>
      <c r="D216" s="25"/>
      <c r="E216" s="25"/>
      <c r="F216" s="18" t="str">
        <f aca="false">IF(AND(D216="",E216=""),"",'Danh mục'!$F$5+SUM($D$5:D216)-SUM($E$5:E216))</f>
        <v/>
      </c>
      <c r="G216" s="33" t="str">
        <f aca="false">IF(OR(A216="",AND(A216=A215)),"",SUMIFS($D$5:$D$504,$A$5:$A$504,A216))</f>
        <v/>
      </c>
      <c r="H216" s="33" t="str">
        <f aca="false">IF(OR(A216="",AND(A216=A215)),"",SUMIFS($E$5:$E$504,$A$5:$A$504,A216))</f>
        <v/>
      </c>
      <c r="I216" s="29"/>
      <c r="J216" s="34"/>
      <c r="K216" s="35"/>
    </row>
    <row r="217" customFormat="false" ht="15" hidden="false" customHeight="false" outlineLevel="0" collapsed="false">
      <c r="A217" s="32"/>
      <c r="B217" s="29"/>
      <c r="C217" s="29"/>
      <c r="D217" s="25"/>
      <c r="E217" s="25"/>
      <c r="F217" s="18" t="str">
        <f aca="false">IF(AND(D217="",E217=""),"",'Danh mục'!$F$5+SUM($D$5:D217)-SUM($E$5:E217))</f>
        <v/>
      </c>
      <c r="G217" s="33" t="str">
        <f aca="false">IF(OR(A217="",AND(A217=A216)),"",SUMIFS($D$5:$D$504,$A$5:$A$504,A217))</f>
        <v/>
      </c>
      <c r="H217" s="33" t="str">
        <f aca="false">IF(OR(A217="",AND(A217=A216)),"",SUMIFS($E$5:$E$504,$A$5:$A$504,A217))</f>
        <v/>
      </c>
      <c r="I217" s="29"/>
      <c r="J217" s="34"/>
      <c r="K217" s="35"/>
    </row>
    <row r="218" customFormat="false" ht="15" hidden="false" customHeight="false" outlineLevel="0" collapsed="false">
      <c r="A218" s="32"/>
      <c r="B218" s="29"/>
      <c r="C218" s="29"/>
      <c r="D218" s="25"/>
      <c r="E218" s="25"/>
      <c r="F218" s="18" t="str">
        <f aca="false">IF(AND(D218="",E218=""),"",'Danh mục'!$F$5+SUM($D$5:D218)-SUM($E$5:E218))</f>
        <v/>
      </c>
      <c r="G218" s="33" t="str">
        <f aca="false">IF(OR(A218="",AND(A218=A217)),"",SUMIFS($D$5:$D$504,$A$5:$A$504,A218))</f>
        <v/>
      </c>
      <c r="H218" s="33" t="str">
        <f aca="false">IF(OR(A218="",AND(A218=A217)),"",SUMIFS($E$5:$E$504,$A$5:$A$504,A218))</f>
        <v/>
      </c>
      <c r="I218" s="29"/>
      <c r="J218" s="34"/>
      <c r="K218" s="35"/>
    </row>
    <row r="219" customFormat="false" ht="15" hidden="false" customHeight="false" outlineLevel="0" collapsed="false">
      <c r="A219" s="32"/>
      <c r="B219" s="29"/>
      <c r="C219" s="29"/>
      <c r="D219" s="25"/>
      <c r="E219" s="25"/>
      <c r="F219" s="18" t="str">
        <f aca="false">IF(AND(D219="",E219=""),"",'Danh mục'!$F$5+SUM($D$5:D219)-SUM($E$5:E219))</f>
        <v/>
      </c>
      <c r="G219" s="33" t="str">
        <f aca="false">IF(OR(A219="",AND(A219=A218)),"",SUMIFS($D$5:$D$504,$A$5:$A$504,A219))</f>
        <v/>
      </c>
      <c r="H219" s="33" t="str">
        <f aca="false">IF(OR(A219="",AND(A219=A218)),"",SUMIFS($E$5:$E$504,$A$5:$A$504,A219))</f>
        <v/>
      </c>
      <c r="I219" s="29"/>
      <c r="J219" s="34"/>
      <c r="K219" s="35"/>
    </row>
    <row r="220" customFormat="false" ht="15" hidden="false" customHeight="false" outlineLevel="0" collapsed="false">
      <c r="A220" s="32"/>
      <c r="B220" s="29"/>
      <c r="C220" s="29"/>
      <c r="D220" s="25"/>
      <c r="E220" s="25"/>
      <c r="F220" s="18" t="str">
        <f aca="false">IF(AND(D220="",E220=""),"",'Danh mục'!$F$5+SUM($D$5:D220)-SUM($E$5:E220))</f>
        <v/>
      </c>
      <c r="G220" s="33" t="str">
        <f aca="false">IF(OR(A220="",AND(A220=A219)),"",SUMIFS($D$5:$D$504,$A$5:$A$504,A220))</f>
        <v/>
      </c>
      <c r="H220" s="33" t="str">
        <f aca="false">IF(OR(A220="",AND(A220=A219)),"",SUMIFS($E$5:$E$504,$A$5:$A$504,A220))</f>
        <v/>
      </c>
      <c r="I220" s="29"/>
      <c r="J220" s="34"/>
      <c r="K220" s="35"/>
    </row>
    <row r="221" customFormat="false" ht="15" hidden="false" customHeight="false" outlineLevel="0" collapsed="false">
      <c r="A221" s="32"/>
      <c r="B221" s="29"/>
      <c r="C221" s="29"/>
      <c r="D221" s="25"/>
      <c r="E221" s="25"/>
      <c r="F221" s="18" t="str">
        <f aca="false">IF(AND(D221="",E221=""),"",'Danh mục'!$F$5+SUM($D$5:D221)-SUM($E$5:E221))</f>
        <v/>
      </c>
      <c r="G221" s="33" t="str">
        <f aca="false">IF(OR(A221="",AND(A221=A220)),"",SUMIFS($D$5:$D$504,$A$5:$A$504,A221))</f>
        <v/>
      </c>
      <c r="H221" s="33" t="str">
        <f aca="false">IF(OR(A221="",AND(A221=A220)),"",SUMIFS($E$5:$E$504,$A$5:$A$504,A221))</f>
        <v/>
      </c>
      <c r="I221" s="29"/>
      <c r="J221" s="34"/>
      <c r="K221" s="35"/>
    </row>
    <row r="222" customFormat="false" ht="15" hidden="false" customHeight="false" outlineLevel="0" collapsed="false">
      <c r="A222" s="32"/>
      <c r="B222" s="29"/>
      <c r="C222" s="29"/>
      <c r="D222" s="25"/>
      <c r="E222" s="25"/>
      <c r="F222" s="18" t="str">
        <f aca="false">IF(AND(D222="",E222=""),"",'Danh mục'!$F$5+SUM($D$5:D222)-SUM($E$5:E222))</f>
        <v/>
      </c>
      <c r="G222" s="33" t="str">
        <f aca="false">IF(OR(A222="",AND(A222=A221)),"",SUMIFS($D$5:$D$504,$A$5:$A$504,A222))</f>
        <v/>
      </c>
      <c r="H222" s="33" t="str">
        <f aca="false">IF(OR(A222="",AND(A222=A221)),"",SUMIFS($E$5:$E$504,$A$5:$A$504,A222))</f>
        <v/>
      </c>
      <c r="I222" s="29"/>
      <c r="J222" s="34"/>
      <c r="K222" s="35"/>
    </row>
    <row r="223" customFormat="false" ht="15" hidden="false" customHeight="false" outlineLevel="0" collapsed="false">
      <c r="A223" s="32"/>
      <c r="B223" s="29"/>
      <c r="C223" s="29"/>
      <c r="D223" s="25"/>
      <c r="E223" s="25"/>
      <c r="F223" s="18" t="str">
        <f aca="false">IF(AND(D223="",E223=""),"",'Danh mục'!$F$5+SUM($D$5:D223)-SUM($E$5:E223))</f>
        <v/>
      </c>
      <c r="G223" s="33" t="str">
        <f aca="false">IF(OR(A223="",AND(A223=A222)),"",SUMIFS($D$5:$D$504,$A$5:$A$504,A223))</f>
        <v/>
      </c>
      <c r="H223" s="33" t="str">
        <f aca="false">IF(OR(A223="",AND(A223=A222)),"",SUMIFS($E$5:$E$504,$A$5:$A$504,A223))</f>
        <v/>
      </c>
      <c r="I223" s="29"/>
      <c r="J223" s="34"/>
      <c r="K223" s="35"/>
    </row>
    <row r="224" customFormat="false" ht="15" hidden="false" customHeight="false" outlineLevel="0" collapsed="false">
      <c r="A224" s="32"/>
      <c r="B224" s="29"/>
      <c r="C224" s="29"/>
      <c r="D224" s="25"/>
      <c r="E224" s="25"/>
      <c r="F224" s="18" t="str">
        <f aca="false">IF(AND(D224="",E224=""),"",'Danh mục'!$F$5+SUM($D$5:D224)-SUM($E$5:E224))</f>
        <v/>
      </c>
      <c r="G224" s="33" t="str">
        <f aca="false">IF(OR(A224="",AND(A224=A223)),"",SUMIFS($D$5:$D$504,$A$5:$A$504,A224))</f>
        <v/>
      </c>
      <c r="H224" s="33" t="str">
        <f aca="false">IF(OR(A224="",AND(A224=A223)),"",SUMIFS($E$5:$E$504,$A$5:$A$504,A224))</f>
        <v/>
      </c>
      <c r="I224" s="29"/>
      <c r="J224" s="34"/>
      <c r="K224" s="35"/>
    </row>
    <row r="225" customFormat="false" ht="15" hidden="false" customHeight="false" outlineLevel="0" collapsed="false">
      <c r="A225" s="32"/>
      <c r="B225" s="29"/>
      <c r="C225" s="29"/>
      <c r="D225" s="25"/>
      <c r="E225" s="25"/>
      <c r="F225" s="18" t="str">
        <f aca="false">IF(AND(D225="",E225=""),"",'Danh mục'!$F$5+SUM($D$5:D225)-SUM($E$5:E225))</f>
        <v/>
      </c>
      <c r="G225" s="33" t="str">
        <f aca="false">IF(OR(A225="",AND(A225=A224)),"",SUMIFS($D$5:$D$504,$A$5:$A$504,A225))</f>
        <v/>
      </c>
      <c r="H225" s="33" t="str">
        <f aca="false">IF(OR(A225="",AND(A225=A224)),"",SUMIFS($E$5:$E$504,$A$5:$A$504,A225))</f>
        <v/>
      </c>
      <c r="I225" s="29"/>
      <c r="J225" s="34"/>
      <c r="K225" s="35"/>
    </row>
    <row r="226" customFormat="false" ht="15" hidden="false" customHeight="false" outlineLevel="0" collapsed="false">
      <c r="A226" s="32"/>
      <c r="B226" s="29"/>
      <c r="C226" s="29"/>
      <c r="D226" s="25"/>
      <c r="E226" s="25"/>
      <c r="F226" s="18" t="str">
        <f aca="false">IF(AND(D226="",E226=""),"",'Danh mục'!$F$5+SUM($D$5:D226)-SUM($E$5:E226))</f>
        <v/>
      </c>
      <c r="G226" s="33" t="str">
        <f aca="false">IF(OR(A226="",AND(A226=A225)),"",SUMIFS($D$5:$D$504,$A$5:$A$504,A226))</f>
        <v/>
      </c>
      <c r="H226" s="33" t="str">
        <f aca="false">IF(OR(A226="",AND(A226=A225)),"",SUMIFS($E$5:$E$504,$A$5:$A$504,A226))</f>
        <v/>
      </c>
      <c r="I226" s="29"/>
      <c r="J226" s="34"/>
      <c r="K226" s="35"/>
    </row>
    <row r="227" customFormat="false" ht="15" hidden="false" customHeight="false" outlineLevel="0" collapsed="false">
      <c r="A227" s="32"/>
      <c r="B227" s="29"/>
      <c r="C227" s="29"/>
      <c r="D227" s="25"/>
      <c r="E227" s="25"/>
      <c r="F227" s="18" t="str">
        <f aca="false">IF(AND(D227="",E227=""),"",'Danh mục'!$F$5+SUM($D$5:D227)-SUM($E$5:E227))</f>
        <v/>
      </c>
      <c r="G227" s="33" t="str">
        <f aca="false">IF(OR(A227="",AND(A227=A226)),"",SUMIFS($D$5:$D$504,$A$5:$A$504,A227))</f>
        <v/>
      </c>
      <c r="H227" s="33" t="str">
        <f aca="false">IF(OR(A227="",AND(A227=A226)),"",SUMIFS($E$5:$E$504,$A$5:$A$504,A227))</f>
        <v/>
      </c>
      <c r="I227" s="29"/>
      <c r="J227" s="34"/>
      <c r="K227" s="35"/>
    </row>
    <row r="228" customFormat="false" ht="15" hidden="false" customHeight="false" outlineLevel="0" collapsed="false">
      <c r="A228" s="32"/>
      <c r="B228" s="29"/>
      <c r="C228" s="29"/>
      <c r="D228" s="25"/>
      <c r="E228" s="25"/>
      <c r="F228" s="18" t="str">
        <f aca="false">IF(AND(D228="",E228=""),"",'Danh mục'!$F$5+SUM($D$5:D228)-SUM($E$5:E228))</f>
        <v/>
      </c>
      <c r="G228" s="33" t="str">
        <f aca="false">IF(OR(A228="",AND(A228=A227)),"",SUMIFS($D$5:$D$504,$A$5:$A$504,A228))</f>
        <v/>
      </c>
      <c r="H228" s="33" t="str">
        <f aca="false">IF(OR(A228="",AND(A228=A227)),"",SUMIFS($E$5:$E$504,$A$5:$A$504,A228))</f>
        <v/>
      </c>
      <c r="I228" s="29"/>
      <c r="J228" s="34"/>
      <c r="K228" s="35"/>
    </row>
    <row r="229" customFormat="false" ht="15" hidden="false" customHeight="false" outlineLevel="0" collapsed="false">
      <c r="A229" s="32"/>
      <c r="B229" s="29"/>
      <c r="C229" s="29"/>
      <c r="D229" s="25"/>
      <c r="E229" s="25"/>
      <c r="F229" s="18" t="str">
        <f aca="false">IF(AND(D229="",E229=""),"",'Danh mục'!$F$5+SUM($D$5:D229)-SUM($E$5:E229))</f>
        <v/>
      </c>
      <c r="G229" s="33" t="str">
        <f aca="false">IF(OR(A229="",AND(A229=A228)),"",SUMIFS($D$5:$D$504,$A$5:$A$504,A229))</f>
        <v/>
      </c>
      <c r="H229" s="33" t="str">
        <f aca="false">IF(OR(A229="",AND(A229=A228)),"",SUMIFS($E$5:$E$504,$A$5:$A$504,A229))</f>
        <v/>
      </c>
      <c r="I229" s="29"/>
      <c r="J229" s="34"/>
      <c r="K229" s="35"/>
    </row>
    <row r="230" customFormat="false" ht="15" hidden="false" customHeight="false" outlineLevel="0" collapsed="false">
      <c r="A230" s="32"/>
      <c r="B230" s="29"/>
      <c r="C230" s="29"/>
      <c r="D230" s="25"/>
      <c r="E230" s="25"/>
      <c r="F230" s="18" t="str">
        <f aca="false">IF(AND(D230="",E230=""),"",'Danh mục'!$F$5+SUM($D$5:D230)-SUM($E$5:E230))</f>
        <v/>
      </c>
      <c r="G230" s="33" t="str">
        <f aca="false">IF(OR(A230="",AND(A230=A229)),"",SUMIFS($D$5:$D$504,$A$5:$A$504,A230))</f>
        <v/>
      </c>
      <c r="H230" s="33" t="str">
        <f aca="false">IF(OR(A230="",AND(A230=A229)),"",SUMIFS($E$5:$E$504,$A$5:$A$504,A230))</f>
        <v/>
      </c>
      <c r="I230" s="29"/>
      <c r="J230" s="34"/>
      <c r="K230" s="35"/>
    </row>
    <row r="231" customFormat="false" ht="15" hidden="false" customHeight="false" outlineLevel="0" collapsed="false">
      <c r="A231" s="32"/>
      <c r="B231" s="29"/>
      <c r="C231" s="29"/>
      <c r="D231" s="25"/>
      <c r="E231" s="25"/>
      <c r="F231" s="18" t="str">
        <f aca="false">IF(AND(D231="",E231=""),"",'Danh mục'!$F$5+SUM($D$5:D231)-SUM($E$5:E231))</f>
        <v/>
      </c>
      <c r="G231" s="33" t="str">
        <f aca="false">IF(OR(A231="",AND(A231=A230)),"",SUMIFS($D$5:$D$504,$A$5:$A$504,A231))</f>
        <v/>
      </c>
      <c r="H231" s="33" t="str">
        <f aca="false">IF(OR(A231="",AND(A231=A230)),"",SUMIFS($E$5:$E$504,$A$5:$A$504,A231))</f>
        <v/>
      </c>
      <c r="I231" s="29"/>
      <c r="J231" s="34"/>
      <c r="K231" s="35"/>
    </row>
    <row r="232" customFormat="false" ht="15" hidden="false" customHeight="false" outlineLevel="0" collapsed="false">
      <c r="A232" s="32"/>
      <c r="B232" s="29"/>
      <c r="C232" s="29"/>
      <c r="D232" s="25"/>
      <c r="E232" s="25"/>
      <c r="F232" s="18" t="str">
        <f aca="false">IF(AND(D232="",E232=""),"",'Danh mục'!$F$5+SUM($D$5:D232)-SUM($E$5:E232))</f>
        <v/>
      </c>
      <c r="G232" s="33" t="str">
        <f aca="false">IF(OR(A232="",AND(A232=A231)),"",SUMIFS($D$5:$D$504,$A$5:$A$504,A232))</f>
        <v/>
      </c>
      <c r="H232" s="33" t="str">
        <f aca="false">IF(OR(A232="",AND(A232=A231)),"",SUMIFS($E$5:$E$504,$A$5:$A$504,A232))</f>
        <v/>
      </c>
      <c r="I232" s="29"/>
      <c r="J232" s="34"/>
      <c r="K232" s="35"/>
    </row>
    <row r="233" customFormat="false" ht="15" hidden="false" customHeight="false" outlineLevel="0" collapsed="false">
      <c r="A233" s="32"/>
      <c r="B233" s="29"/>
      <c r="C233" s="29"/>
      <c r="D233" s="25"/>
      <c r="E233" s="25"/>
      <c r="F233" s="18" t="str">
        <f aca="false">IF(AND(D233="",E233=""),"",'Danh mục'!$F$5+SUM($D$5:D233)-SUM($E$5:E233))</f>
        <v/>
      </c>
      <c r="G233" s="33" t="str">
        <f aca="false">IF(OR(A233="",AND(A233=A232)),"",SUMIFS($D$5:$D$504,$A$5:$A$504,A233))</f>
        <v/>
      </c>
      <c r="H233" s="33" t="str">
        <f aca="false">IF(OR(A233="",AND(A233=A232)),"",SUMIFS($E$5:$E$504,$A$5:$A$504,A233))</f>
        <v/>
      </c>
      <c r="I233" s="29"/>
      <c r="J233" s="34"/>
      <c r="K233" s="35"/>
    </row>
    <row r="234" customFormat="false" ht="15" hidden="false" customHeight="false" outlineLevel="0" collapsed="false">
      <c r="A234" s="32"/>
      <c r="B234" s="29"/>
      <c r="C234" s="29"/>
      <c r="D234" s="25"/>
      <c r="E234" s="25"/>
      <c r="F234" s="18" t="str">
        <f aca="false">IF(AND(D234="",E234=""),"",'Danh mục'!$F$5+SUM($D$5:D234)-SUM($E$5:E234))</f>
        <v/>
      </c>
      <c r="G234" s="33" t="str">
        <f aca="false">IF(OR(A234="",AND(A234=A233)),"",SUMIFS($D$5:$D$504,$A$5:$A$504,A234))</f>
        <v/>
      </c>
      <c r="H234" s="33" t="str">
        <f aca="false">IF(OR(A234="",AND(A234=A233)),"",SUMIFS($E$5:$E$504,$A$5:$A$504,A234))</f>
        <v/>
      </c>
      <c r="I234" s="29"/>
      <c r="J234" s="34"/>
      <c r="K234" s="35"/>
    </row>
    <row r="235" customFormat="false" ht="15" hidden="false" customHeight="false" outlineLevel="0" collapsed="false">
      <c r="A235" s="32"/>
      <c r="B235" s="29"/>
      <c r="C235" s="29"/>
      <c r="D235" s="25"/>
      <c r="E235" s="25"/>
      <c r="F235" s="18" t="str">
        <f aca="false">IF(AND(D235="",E235=""),"",'Danh mục'!$F$5+SUM($D$5:D235)-SUM($E$5:E235))</f>
        <v/>
      </c>
      <c r="G235" s="33" t="str">
        <f aca="false">IF(OR(A235="",AND(A235=A234)),"",SUMIFS($D$5:$D$504,$A$5:$A$504,A235))</f>
        <v/>
      </c>
      <c r="H235" s="33" t="str">
        <f aca="false">IF(OR(A235="",AND(A235=A234)),"",SUMIFS($E$5:$E$504,$A$5:$A$504,A235))</f>
        <v/>
      </c>
      <c r="I235" s="29"/>
      <c r="J235" s="34"/>
      <c r="K235" s="35"/>
    </row>
    <row r="236" customFormat="false" ht="15" hidden="false" customHeight="false" outlineLevel="0" collapsed="false">
      <c r="A236" s="32"/>
      <c r="B236" s="29"/>
      <c r="C236" s="29"/>
      <c r="D236" s="25"/>
      <c r="E236" s="25"/>
      <c r="F236" s="18" t="str">
        <f aca="false">IF(AND(D236="",E236=""),"",'Danh mục'!$F$5+SUM($D$5:D236)-SUM($E$5:E236))</f>
        <v/>
      </c>
      <c r="G236" s="33" t="str">
        <f aca="false">IF(OR(A236="",AND(A236=A235)),"",SUMIFS($D$5:$D$504,$A$5:$A$504,A236))</f>
        <v/>
      </c>
      <c r="H236" s="33" t="str">
        <f aca="false">IF(OR(A236="",AND(A236=A235)),"",SUMIFS($E$5:$E$504,$A$5:$A$504,A236))</f>
        <v/>
      </c>
      <c r="I236" s="29"/>
      <c r="J236" s="34"/>
      <c r="K236" s="35"/>
    </row>
    <row r="237" customFormat="false" ht="15" hidden="false" customHeight="false" outlineLevel="0" collapsed="false">
      <c r="A237" s="32"/>
      <c r="B237" s="29"/>
      <c r="C237" s="29"/>
      <c r="D237" s="25"/>
      <c r="E237" s="25"/>
      <c r="F237" s="18" t="str">
        <f aca="false">IF(AND(D237="",E237=""),"",'Danh mục'!$F$5+SUM($D$5:D237)-SUM($E$5:E237))</f>
        <v/>
      </c>
      <c r="G237" s="33" t="str">
        <f aca="false">IF(OR(A237="",AND(A237=A236)),"",SUMIFS($D$5:$D$504,$A$5:$A$504,A237))</f>
        <v/>
      </c>
      <c r="H237" s="33" t="str">
        <f aca="false">IF(OR(A237="",AND(A237=A236)),"",SUMIFS($E$5:$E$504,$A$5:$A$504,A237))</f>
        <v/>
      </c>
      <c r="I237" s="29"/>
      <c r="J237" s="34"/>
      <c r="K237" s="35"/>
    </row>
    <row r="238" customFormat="false" ht="15" hidden="false" customHeight="false" outlineLevel="0" collapsed="false">
      <c r="A238" s="32"/>
      <c r="B238" s="29"/>
      <c r="C238" s="29"/>
      <c r="D238" s="25"/>
      <c r="E238" s="25"/>
      <c r="F238" s="18" t="str">
        <f aca="false">IF(AND(D238="",E238=""),"",'Danh mục'!$F$5+SUM($D$5:D238)-SUM($E$5:E238))</f>
        <v/>
      </c>
      <c r="G238" s="33" t="str">
        <f aca="false">IF(OR(A238="",AND(A238=A237)),"",SUMIFS($D$5:$D$504,$A$5:$A$504,A238))</f>
        <v/>
      </c>
      <c r="H238" s="33" t="str">
        <f aca="false">IF(OR(A238="",AND(A238=A237)),"",SUMIFS($E$5:$E$504,$A$5:$A$504,A238))</f>
        <v/>
      </c>
      <c r="I238" s="29"/>
      <c r="J238" s="34"/>
      <c r="K238" s="35"/>
    </row>
    <row r="239" customFormat="false" ht="15" hidden="false" customHeight="false" outlineLevel="0" collapsed="false">
      <c r="A239" s="32"/>
      <c r="B239" s="29"/>
      <c r="C239" s="29"/>
      <c r="D239" s="25"/>
      <c r="E239" s="25"/>
      <c r="F239" s="18" t="str">
        <f aca="false">IF(AND(D239="",E239=""),"",'Danh mục'!$F$5+SUM($D$5:D239)-SUM($E$5:E239))</f>
        <v/>
      </c>
      <c r="G239" s="33" t="str">
        <f aca="false">IF(OR(A239="",AND(A239=A238)),"",SUMIFS($D$5:$D$504,$A$5:$A$504,A239))</f>
        <v/>
      </c>
      <c r="H239" s="33" t="str">
        <f aca="false">IF(OR(A239="",AND(A239=A238)),"",SUMIFS($E$5:$E$504,$A$5:$A$504,A239))</f>
        <v/>
      </c>
      <c r="I239" s="29"/>
      <c r="J239" s="34"/>
      <c r="K239" s="35"/>
    </row>
    <row r="240" customFormat="false" ht="15" hidden="false" customHeight="false" outlineLevel="0" collapsed="false">
      <c r="A240" s="32"/>
      <c r="B240" s="29"/>
      <c r="C240" s="29"/>
      <c r="D240" s="25"/>
      <c r="E240" s="25"/>
      <c r="F240" s="18" t="str">
        <f aca="false">IF(AND(D240="",E240=""),"",'Danh mục'!$F$5+SUM($D$5:D240)-SUM($E$5:E240))</f>
        <v/>
      </c>
      <c r="G240" s="33" t="str">
        <f aca="false">IF(OR(A240="",AND(A240=A239)),"",SUMIFS($D$5:$D$504,$A$5:$A$504,A240))</f>
        <v/>
      </c>
      <c r="H240" s="33" t="str">
        <f aca="false">IF(OR(A240="",AND(A240=A239)),"",SUMIFS($E$5:$E$504,$A$5:$A$504,A240))</f>
        <v/>
      </c>
      <c r="I240" s="29"/>
      <c r="J240" s="34"/>
      <c r="K240" s="35"/>
    </row>
    <row r="241" customFormat="false" ht="15" hidden="false" customHeight="false" outlineLevel="0" collapsed="false">
      <c r="A241" s="32"/>
      <c r="B241" s="29"/>
      <c r="C241" s="29"/>
      <c r="D241" s="25"/>
      <c r="E241" s="25"/>
      <c r="F241" s="18" t="str">
        <f aca="false">IF(AND(D241="",E241=""),"",'Danh mục'!$F$5+SUM($D$5:D241)-SUM($E$5:E241))</f>
        <v/>
      </c>
      <c r="G241" s="33" t="str">
        <f aca="false">IF(OR(A241="",AND(A241=A240)),"",SUMIFS($D$5:$D$504,$A$5:$A$504,A241))</f>
        <v/>
      </c>
      <c r="H241" s="33" t="str">
        <f aca="false">IF(OR(A241="",AND(A241=A240)),"",SUMIFS($E$5:$E$504,$A$5:$A$504,A241))</f>
        <v/>
      </c>
      <c r="I241" s="29"/>
      <c r="J241" s="34"/>
      <c r="K241" s="35"/>
    </row>
    <row r="242" customFormat="false" ht="15" hidden="false" customHeight="false" outlineLevel="0" collapsed="false">
      <c r="A242" s="32"/>
      <c r="B242" s="29"/>
      <c r="C242" s="29"/>
      <c r="D242" s="25"/>
      <c r="E242" s="25"/>
      <c r="F242" s="18" t="str">
        <f aca="false">IF(AND(D242="",E242=""),"",'Danh mục'!$F$5+SUM($D$5:D242)-SUM($E$5:E242))</f>
        <v/>
      </c>
      <c r="G242" s="33" t="str">
        <f aca="false">IF(OR(A242="",AND(A242=A241)),"",SUMIFS($D$5:$D$504,$A$5:$A$504,A242))</f>
        <v/>
      </c>
      <c r="H242" s="33" t="str">
        <f aca="false">IF(OR(A242="",AND(A242=A241)),"",SUMIFS($E$5:$E$504,$A$5:$A$504,A242))</f>
        <v/>
      </c>
      <c r="I242" s="29"/>
      <c r="J242" s="34"/>
      <c r="K242" s="35"/>
    </row>
    <row r="243" customFormat="false" ht="15" hidden="false" customHeight="false" outlineLevel="0" collapsed="false">
      <c r="A243" s="32"/>
      <c r="B243" s="29"/>
      <c r="C243" s="29"/>
      <c r="D243" s="25"/>
      <c r="E243" s="25"/>
      <c r="F243" s="18" t="str">
        <f aca="false">IF(AND(D243="",E243=""),"",'Danh mục'!$F$5+SUM($D$5:D243)-SUM($E$5:E243))</f>
        <v/>
      </c>
      <c r="G243" s="33" t="str">
        <f aca="false">IF(OR(A243="",AND(A243=A242)),"",SUMIFS($D$5:$D$504,$A$5:$A$504,A243))</f>
        <v/>
      </c>
      <c r="H243" s="33" t="str">
        <f aca="false">IF(OR(A243="",AND(A243=A242)),"",SUMIFS($E$5:$E$504,$A$5:$A$504,A243))</f>
        <v/>
      </c>
      <c r="I243" s="29"/>
      <c r="J243" s="34"/>
      <c r="K243" s="35"/>
    </row>
    <row r="244" customFormat="false" ht="15" hidden="false" customHeight="false" outlineLevel="0" collapsed="false">
      <c r="A244" s="32"/>
      <c r="B244" s="29"/>
      <c r="C244" s="29"/>
      <c r="D244" s="25"/>
      <c r="E244" s="25"/>
      <c r="F244" s="18" t="str">
        <f aca="false">IF(AND(D244="",E244=""),"",'Danh mục'!$F$5+SUM($D$5:D244)-SUM($E$5:E244))</f>
        <v/>
      </c>
      <c r="G244" s="33" t="str">
        <f aca="false">IF(OR(A244="",AND(A244=A243)),"",SUMIFS($D$5:$D$504,$A$5:$A$504,A244))</f>
        <v/>
      </c>
      <c r="H244" s="33" t="str">
        <f aca="false">IF(OR(A244="",AND(A244=A243)),"",SUMIFS($E$5:$E$504,$A$5:$A$504,A244))</f>
        <v/>
      </c>
      <c r="I244" s="29"/>
      <c r="J244" s="34"/>
      <c r="K244" s="35"/>
    </row>
    <row r="245" customFormat="false" ht="15" hidden="false" customHeight="false" outlineLevel="0" collapsed="false">
      <c r="A245" s="32"/>
      <c r="B245" s="29"/>
      <c r="C245" s="29"/>
      <c r="D245" s="25"/>
      <c r="E245" s="25"/>
      <c r="F245" s="18" t="str">
        <f aca="false">IF(AND(D245="",E245=""),"",'Danh mục'!$F$5+SUM($D$5:D245)-SUM($E$5:E245))</f>
        <v/>
      </c>
      <c r="G245" s="33" t="str">
        <f aca="false">IF(OR(A245="",AND(A245=A244)),"",SUMIFS($D$5:$D$504,$A$5:$A$504,A245))</f>
        <v/>
      </c>
      <c r="H245" s="33" t="str">
        <f aca="false">IF(OR(A245="",AND(A245=A244)),"",SUMIFS($E$5:$E$504,$A$5:$A$504,A245))</f>
        <v/>
      </c>
      <c r="I245" s="29"/>
      <c r="J245" s="34"/>
      <c r="K245" s="35"/>
    </row>
    <row r="246" customFormat="false" ht="15" hidden="false" customHeight="false" outlineLevel="0" collapsed="false">
      <c r="A246" s="32"/>
      <c r="B246" s="29"/>
      <c r="C246" s="29"/>
      <c r="D246" s="25"/>
      <c r="E246" s="25"/>
      <c r="F246" s="18" t="str">
        <f aca="false">IF(AND(D246="",E246=""),"",'Danh mục'!$F$5+SUM($D$5:D246)-SUM($E$5:E246))</f>
        <v/>
      </c>
      <c r="G246" s="33" t="str">
        <f aca="false">IF(OR(A246="",AND(A246=A245)),"",SUMIFS($D$5:$D$504,$A$5:$A$504,A246))</f>
        <v/>
      </c>
      <c r="H246" s="33" t="str">
        <f aca="false">IF(OR(A246="",AND(A246=A245)),"",SUMIFS($E$5:$E$504,$A$5:$A$504,A246))</f>
        <v/>
      </c>
      <c r="I246" s="29"/>
      <c r="J246" s="34"/>
      <c r="K246" s="35"/>
    </row>
    <row r="247" customFormat="false" ht="15" hidden="false" customHeight="false" outlineLevel="0" collapsed="false">
      <c r="A247" s="32"/>
      <c r="B247" s="29"/>
      <c r="C247" s="29"/>
      <c r="D247" s="25"/>
      <c r="E247" s="25"/>
      <c r="F247" s="18" t="str">
        <f aca="false">IF(AND(D247="",E247=""),"",'Danh mục'!$F$5+SUM($D$5:D247)-SUM($E$5:E247))</f>
        <v/>
      </c>
      <c r="G247" s="33" t="str">
        <f aca="false">IF(OR(A247="",AND(A247=A246)),"",SUMIFS($D$5:$D$504,$A$5:$A$504,A247))</f>
        <v/>
      </c>
      <c r="H247" s="33" t="str">
        <f aca="false">IF(OR(A247="",AND(A247=A246)),"",SUMIFS($E$5:$E$504,$A$5:$A$504,A247))</f>
        <v/>
      </c>
      <c r="I247" s="29"/>
      <c r="J247" s="34"/>
      <c r="K247" s="35"/>
    </row>
    <row r="248" customFormat="false" ht="15" hidden="false" customHeight="false" outlineLevel="0" collapsed="false">
      <c r="A248" s="32"/>
      <c r="B248" s="29"/>
      <c r="C248" s="29"/>
      <c r="D248" s="25"/>
      <c r="E248" s="25"/>
      <c r="F248" s="18" t="str">
        <f aca="false">IF(AND(D248="",E248=""),"",'Danh mục'!$F$5+SUM($D$5:D248)-SUM($E$5:E248))</f>
        <v/>
      </c>
      <c r="G248" s="33" t="str">
        <f aca="false">IF(OR(A248="",AND(A248=A247)),"",SUMIFS($D$5:$D$504,$A$5:$A$504,A248))</f>
        <v/>
      </c>
      <c r="H248" s="33" t="str">
        <f aca="false">IF(OR(A248="",AND(A248=A247)),"",SUMIFS($E$5:$E$504,$A$5:$A$504,A248))</f>
        <v/>
      </c>
      <c r="I248" s="29"/>
      <c r="J248" s="34"/>
      <c r="K248" s="35"/>
    </row>
    <row r="249" customFormat="false" ht="15" hidden="false" customHeight="false" outlineLevel="0" collapsed="false">
      <c r="A249" s="32"/>
      <c r="B249" s="29"/>
      <c r="C249" s="29"/>
      <c r="D249" s="25"/>
      <c r="E249" s="25"/>
      <c r="F249" s="18" t="str">
        <f aca="false">IF(AND(D249="",E249=""),"",'Danh mục'!$F$5+SUM($D$5:D249)-SUM($E$5:E249))</f>
        <v/>
      </c>
      <c r="G249" s="33" t="str">
        <f aca="false">IF(OR(A249="",AND(A249=A248)),"",SUMIFS($D$5:$D$504,$A$5:$A$504,A249))</f>
        <v/>
      </c>
      <c r="H249" s="33" t="str">
        <f aca="false">IF(OR(A249="",AND(A249=A248)),"",SUMIFS($E$5:$E$504,$A$5:$A$504,A249))</f>
        <v/>
      </c>
      <c r="I249" s="29"/>
      <c r="J249" s="34"/>
      <c r="K249" s="35"/>
    </row>
    <row r="250" customFormat="false" ht="15" hidden="false" customHeight="false" outlineLevel="0" collapsed="false">
      <c r="A250" s="32"/>
      <c r="B250" s="29"/>
      <c r="C250" s="29"/>
      <c r="D250" s="25"/>
      <c r="E250" s="25"/>
      <c r="F250" s="18" t="str">
        <f aca="false">IF(AND(D250="",E250=""),"",'Danh mục'!$F$5+SUM($D$5:D250)-SUM($E$5:E250))</f>
        <v/>
      </c>
      <c r="G250" s="33" t="str">
        <f aca="false">IF(OR(A250="",AND(A250=A249)),"",SUMIFS($D$5:$D$504,$A$5:$A$504,A250))</f>
        <v/>
      </c>
      <c r="H250" s="33" t="str">
        <f aca="false">IF(OR(A250="",AND(A250=A249)),"",SUMIFS($E$5:$E$504,$A$5:$A$504,A250))</f>
        <v/>
      </c>
      <c r="I250" s="29"/>
      <c r="J250" s="34"/>
      <c r="K250" s="35"/>
    </row>
    <row r="251" customFormat="false" ht="15" hidden="false" customHeight="false" outlineLevel="0" collapsed="false">
      <c r="A251" s="32"/>
      <c r="B251" s="29"/>
      <c r="C251" s="29"/>
      <c r="D251" s="25"/>
      <c r="E251" s="25"/>
      <c r="F251" s="18" t="str">
        <f aca="false">IF(AND(D251="",E251=""),"",'Danh mục'!$F$5+SUM($D$5:D251)-SUM($E$5:E251))</f>
        <v/>
      </c>
      <c r="G251" s="33" t="str">
        <f aca="false">IF(OR(A251="",AND(A251=A250)),"",SUMIFS($D$5:$D$504,$A$5:$A$504,A251))</f>
        <v/>
      </c>
      <c r="H251" s="33" t="str">
        <f aca="false">IF(OR(A251="",AND(A251=A250)),"",SUMIFS($E$5:$E$504,$A$5:$A$504,A251))</f>
        <v/>
      </c>
      <c r="I251" s="29"/>
      <c r="J251" s="34"/>
      <c r="K251" s="35"/>
    </row>
    <row r="252" customFormat="false" ht="15" hidden="false" customHeight="false" outlineLevel="0" collapsed="false">
      <c r="A252" s="32"/>
      <c r="B252" s="29"/>
      <c r="C252" s="29"/>
      <c r="D252" s="25"/>
      <c r="E252" s="25"/>
      <c r="F252" s="18" t="str">
        <f aca="false">IF(AND(D252="",E252=""),"",'Danh mục'!$F$5+SUM($D$5:D252)-SUM($E$5:E252))</f>
        <v/>
      </c>
      <c r="G252" s="33" t="str">
        <f aca="false">IF(OR(A252="",AND(A252=A251)),"",SUMIFS($D$5:$D$504,$A$5:$A$504,A252))</f>
        <v/>
      </c>
      <c r="H252" s="33" t="str">
        <f aca="false">IF(OR(A252="",AND(A252=A251)),"",SUMIFS($E$5:$E$504,$A$5:$A$504,A252))</f>
        <v/>
      </c>
      <c r="I252" s="29"/>
      <c r="J252" s="34"/>
      <c r="K252" s="35"/>
    </row>
    <row r="253" customFormat="false" ht="15" hidden="false" customHeight="false" outlineLevel="0" collapsed="false">
      <c r="A253" s="32"/>
      <c r="B253" s="29"/>
      <c r="C253" s="29"/>
      <c r="D253" s="25"/>
      <c r="E253" s="25"/>
      <c r="F253" s="18" t="str">
        <f aca="false">IF(AND(D253="",E253=""),"",'Danh mục'!$F$5+SUM($D$5:D253)-SUM($E$5:E253))</f>
        <v/>
      </c>
      <c r="G253" s="33" t="str">
        <f aca="false">IF(OR(A253="",AND(A253=A252)),"",SUMIFS($D$5:$D$504,$A$5:$A$504,A253))</f>
        <v/>
      </c>
      <c r="H253" s="33" t="str">
        <f aca="false">IF(OR(A253="",AND(A253=A252)),"",SUMIFS($E$5:$E$504,$A$5:$A$504,A253))</f>
        <v/>
      </c>
      <c r="I253" s="29"/>
      <c r="J253" s="34"/>
      <c r="K253" s="35"/>
    </row>
    <row r="254" customFormat="false" ht="15" hidden="false" customHeight="false" outlineLevel="0" collapsed="false">
      <c r="A254" s="32"/>
      <c r="B254" s="29"/>
      <c r="C254" s="29"/>
      <c r="D254" s="25"/>
      <c r="E254" s="25"/>
      <c r="F254" s="18" t="str">
        <f aca="false">IF(AND(D254="",E254=""),"",'Danh mục'!$F$5+SUM($D$5:D254)-SUM($E$5:E254))</f>
        <v/>
      </c>
      <c r="G254" s="33" t="str">
        <f aca="false">IF(OR(A254="",AND(A254=A253)),"",SUMIFS($D$5:$D$504,$A$5:$A$504,A254))</f>
        <v/>
      </c>
      <c r="H254" s="33" t="str">
        <f aca="false">IF(OR(A254="",AND(A254=A253)),"",SUMIFS($E$5:$E$504,$A$5:$A$504,A254))</f>
        <v/>
      </c>
      <c r="I254" s="29"/>
      <c r="J254" s="34"/>
      <c r="K254" s="35"/>
    </row>
    <row r="255" customFormat="false" ht="15" hidden="false" customHeight="false" outlineLevel="0" collapsed="false">
      <c r="A255" s="32"/>
      <c r="B255" s="29"/>
      <c r="C255" s="29"/>
      <c r="D255" s="25"/>
      <c r="E255" s="25"/>
      <c r="F255" s="18" t="str">
        <f aca="false">IF(AND(D255="",E255=""),"",'Danh mục'!$F$5+SUM($D$5:D255)-SUM($E$5:E255))</f>
        <v/>
      </c>
      <c r="G255" s="33" t="str">
        <f aca="false">IF(OR(A255="",AND(A255=A254)),"",SUMIFS($D$5:$D$504,$A$5:$A$504,A255))</f>
        <v/>
      </c>
      <c r="H255" s="33" t="str">
        <f aca="false">IF(OR(A255="",AND(A255=A254)),"",SUMIFS($E$5:$E$504,$A$5:$A$504,A255))</f>
        <v/>
      </c>
      <c r="I255" s="29"/>
      <c r="J255" s="34"/>
      <c r="K255" s="35"/>
    </row>
    <row r="256" customFormat="false" ht="15" hidden="false" customHeight="false" outlineLevel="0" collapsed="false">
      <c r="A256" s="32"/>
      <c r="B256" s="29"/>
      <c r="C256" s="29"/>
      <c r="D256" s="25"/>
      <c r="E256" s="25"/>
      <c r="F256" s="18" t="str">
        <f aca="false">IF(AND(D256="",E256=""),"",'Danh mục'!$F$5+SUM($D$5:D256)-SUM($E$5:E256))</f>
        <v/>
      </c>
      <c r="G256" s="33" t="str">
        <f aca="false">IF(OR(A256="",AND(A256=A255)),"",SUMIFS($D$5:$D$504,$A$5:$A$504,A256))</f>
        <v/>
      </c>
      <c r="H256" s="33" t="str">
        <f aca="false">IF(OR(A256="",AND(A256=A255)),"",SUMIFS($E$5:$E$504,$A$5:$A$504,A256))</f>
        <v/>
      </c>
      <c r="I256" s="29"/>
      <c r="J256" s="34"/>
      <c r="K256" s="35"/>
    </row>
    <row r="257" customFormat="false" ht="15" hidden="false" customHeight="false" outlineLevel="0" collapsed="false">
      <c r="A257" s="32"/>
      <c r="B257" s="29"/>
      <c r="C257" s="29"/>
      <c r="D257" s="25"/>
      <c r="E257" s="25"/>
      <c r="F257" s="18" t="str">
        <f aca="false">IF(AND(D257="",E257=""),"",'Danh mục'!$F$5+SUM($D$5:D257)-SUM($E$5:E257))</f>
        <v/>
      </c>
      <c r="G257" s="33" t="str">
        <f aca="false">IF(OR(A257="",AND(A257=A256)),"",SUMIFS($D$5:$D$504,$A$5:$A$504,A257))</f>
        <v/>
      </c>
      <c r="H257" s="33" t="str">
        <f aca="false">IF(OR(A257="",AND(A257=A256)),"",SUMIFS($E$5:$E$504,$A$5:$A$504,A257))</f>
        <v/>
      </c>
      <c r="I257" s="29"/>
      <c r="J257" s="34"/>
      <c r="K257" s="35"/>
    </row>
    <row r="258" customFormat="false" ht="15" hidden="false" customHeight="false" outlineLevel="0" collapsed="false">
      <c r="A258" s="32"/>
      <c r="B258" s="29"/>
      <c r="C258" s="29"/>
      <c r="D258" s="25"/>
      <c r="E258" s="25"/>
      <c r="F258" s="18" t="str">
        <f aca="false">IF(AND(D258="",E258=""),"",'Danh mục'!$F$5+SUM($D$5:D258)-SUM($E$5:E258))</f>
        <v/>
      </c>
      <c r="G258" s="33" t="str">
        <f aca="false">IF(OR(A258="",AND(A258=A257)),"",SUMIFS($D$5:$D$504,$A$5:$A$504,A258))</f>
        <v/>
      </c>
      <c r="H258" s="33" t="str">
        <f aca="false">IF(OR(A258="",AND(A258=A257)),"",SUMIFS($E$5:$E$504,$A$5:$A$504,A258))</f>
        <v/>
      </c>
      <c r="I258" s="29"/>
      <c r="J258" s="34"/>
      <c r="K258" s="35"/>
    </row>
    <row r="259" customFormat="false" ht="15" hidden="false" customHeight="false" outlineLevel="0" collapsed="false">
      <c r="A259" s="32"/>
      <c r="B259" s="29"/>
      <c r="C259" s="29"/>
      <c r="D259" s="25"/>
      <c r="E259" s="25"/>
      <c r="F259" s="18" t="str">
        <f aca="false">IF(AND(D259="",E259=""),"",'Danh mục'!$F$5+SUM($D$5:D259)-SUM($E$5:E259))</f>
        <v/>
      </c>
      <c r="G259" s="33" t="str">
        <f aca="false">IF(OR(A259="",AND(A259=A258)),"",SUMIFS($D$5:$D$504,$A$5:$A$504,A259))</f>
        <v/>
      </c>
      <c r="H259" s="33" t="str">
        <f aca="false">IF(OR(A259="",AND(A259=A258)),"",SUMIFS($E$5:$E$504,$A$5:$A$504,A259))</f>
        <v/>
      </c>
      <c r="I259" s="29"/>
      <c r="J259" s="34"/>
      <c r="K259" s="35"/>
    </row>
    <row r="260" customFormat="false" ht="15" hidden="false" customHeight="false" outlineLevel="0" collapsed="false">
      <c r="A260" s="32"/>
      <c r="B260" s="29"/>
      <c r="C260" s="29"/>
      <c r="D260" s="25"/>
      <c r="E260" s="25"/>
      <c r="F260" s="18" t="str">
        <f aca="false">IF(AND(D260="",E260=""),"",'Danh mục'!$F$5+SUM($D$5:D260)-SUM($E$5:E260))</f>
        <v/>
      </c>
      <c r="G260" s="33" t="str">
        <f aca="false">IF(OR(A260="",AND(A260=A259)),"",SUMIFS($D$5:$D$504,$A$5:$A$504,A260))</f>
        <v/>
      </c>
      <c r="H260" s="33" t="str">
        <f aca="false">IF(OR(A260="",AND(A260=A259)),"",SUMIFS($E$5:$E$504,$A$5:$A$504,A260))</f>
        <v/>
      </c>
      <c r="I260" s="29"/>
      <c r="J260" s="34"/>
      <c r="K260" s="35"/>
    </row>
    <row r="261" customFormat="false" ht="15" hidden="false" customHeight="false" outlineLevel="0" collapsed="false">
      <c r="A261" s="32"/>
      <c r="B261" s="29"/>
      <c r="C261" s="29"/>
      <c r="D261" s="25"/>
      <c r="E261" s="25"/>
      <c r="F261" s="18" t="str">
        <f aca="false">IF(AND(D261="",E261=""),"",'Danh mục'!$F$5+SUM($D$5:D261)-SUM($E$5:E261))</f>
        <v/>
      </c>
      <c r="G261" s="33" t="str">
        <f aca="false">IF(OR(A261="",AND(A261=A260)),"",SUMIFS($D$5:$D$504,$A$5:$A$504,A261))</f>
        <v/>
      </c>
      <c r="H261" s="33" t="str">
        <f aca="false">IF(OR(A261="",AND(A261=A260)),"",SUMIFS($E$5:$E$504,$A$5:$A$504,A261))</f>
        <v/>
      </c>
      <c r="I261" s="29"/>
      <c r="J261" s="34"/>
      <c r="K261" s="35"/>
    </row>
    <row r="262" customFormat="false" ht="15" hidden="false" customHeight="false" outlineLevel="0" collapsed="false">
      <c r="A262" s="32"/>
      <c r="B262" s="29"/>
      <c r="C262" s="29"/>
      <c r="D262" s="25"/>
      <c r="E262" s="25"/>
      <c r="F262" s="18" t="str">
        <f aca="false">IF(AND(D262="",E262=""),"",'Danh mục'!$F$5+SUM($D$5:D262)-SUM($E$5:E262))</f>
        <v/>
      </c>
      <c r="G262" s="33" t="str">
        <f aca="false">IF(OR(A262="",AND(A262=A261)),"",SUMIFS($D$5:$D$504,$A$5:$A$504,A262))</f>
        <v/>
      </c>
      <c r="H262" s="33" t="str">
        <f aca="false">IF(OR(A262="",AND(A262=A261)),"",SUMIFS($E$5:$E$504,$A$5:$A$504,A262))</f>
        <v/>
      </c>
      <c r="I262" s="29"/>
      <c r="J262" s="34"/>
      <c r="K262" s="35"/>
    </row>
    <row r="263" customFormat="false" ht="15" hidden="false" customHeight="false" outlineLevel="0" collapsed="false">
      <c r="A263" s="32"/>
      <c r="B263" s="29"/>
      <c r="C263" s="29"/>
      <c r="D263" s="25"/>
      <c r="E263" s="25"/>
      <c r="F263" s="18" t="str">
        <f aca="false">IF(AND(D263="",E263=""),"",'Danh mục'!$F$5+SUM($D$5:D263)-SUM($E$5:E263))</f>
        <v/>
      </c>
      <c r="G263" s="33" t="str">
        <f aca="false">IF(OR(A263="",AND(A263=A262)),"",SUMIFS($D$5:$D$504,$A$5:$A$504,A263))</f>
        <v/>
      </c>
      <c r="H263" s="33" t="str">
        <f aca="false">IF(OR(A263="",AND(A263=A262)),"",SUMIFS($E$5:$E$504,$A$5:$A$504,A263))</f>
        <v/>
      </c>
      <c r="I263" s="29"/>
      <c r="J263" s="34"/>
      <c r="K263" s="35"/>
    </row>
    <row r="264" customFormat="false" ht="15" hidden="false" customHeight="false" outlineLevel="0" collapsed="false">
      <c r="A264" s="32"/>
      <c r="B264" s="29"/>
      <c r="C264" s="29"/>
      <c r="D264" s="25"/>
      <c r="E264" s="25"/>
      <c r="F264" s="18" t="str">
        <f aca="false">IF(AND(D264="",E264=""),"",'Danh mục'!$F$5+SUM($D$5:D264)-SUM($E$5:E264))</f>
        <v/>
      </c>
      <c r="G264" s="33" t="str">
        <f aca="false">IF(OR(A264="",AND(A264=A263)),"",SUMIFS($D$5:$D$504,$A$5:$A$504,A264))</f>
        <v/>
      </c>
      <c r="H264" s="33" t="str">
        <f aca="false">IF(OR(A264="",AND(A264=A263)),"",SUMIFS($E$5:$E$504,$A$5:$A$504,A264))</f>
        <v/>
      </c>
      <c r="I264" s="29"/>
      <c r="J264" s="34"/>
      <c r="K264" s="35"/>
    </row>
    <row r="265" customFormat="false" ht="15" hidden="false" customHeight="false" outlineLevel="0" collapsed="false">
      <c r="A265" s="32"/>
      <c r="B265" s="29"/>
      <c r="C265" s="29"/>
      <c r="D265" s="25"/>
      <c r="E265" s="25"/>
      <c r="F265" s="18" t="str">
        <f aca="false">IF(AND(D265="",E265=""),"",'Danh mục'!$F$5+SUM($D$5:D265)-SUM($E$5:E265))</f>
        <v/>
      </c>
      <c r="G265" s="33" t="str">
        <f aca="false">IF(OR(A265="",AND(A265=A264)),"",SUMIFS($D$5:$D$504,$A$5:$A$504,A265))</f>
        <v/>
      </c>
      <c r="H265" s="33" t="str">
        <f aca="false">IF(OR(A265="",AND(A265=A264)),"",SUMIFS($E$5:$E$504,$A$5:$A$504,A265))</f>
        <v/>
      </c>
      <c r="I265" s="29"/>
      <c r="J265" s="34"/>
      <c r="K265" s="35"/>
    </row>
    <row r="266" customFormat="false" ht="15" hidden="false" customHeight="false" outlineLevel="0" collapsed="false">
      <c r="A266" s="32"/>
      <c r="B266" s="29"/>
      <c r="C266" s="29"/>
      <c r="D266" s="25"/>
      <c r="E266" s="25"/>
      <c r="F266" s="18" t="str">
        <f aca="false">IF(AND(D266="",E266=""),"",'Danh mục'!$F$5+SUM($D$5:D266)-SUM($E$5:E266))</f>
        <v/>
      </c>
      <c r="G266" s="33" t="str">
        <f aca="false">IF(OR(A266="",AND(A266=A265)),"",SUMIFS($D$5:$D$504,$A$5:$A$504,A266))</f>
        <v/>
      </c>
      <c r="H266" s="33" t="str">
        <f aca="false">IF(OR(A266="",AND(A266=A265)),"",SUMIFS($E$5:$E$504,$A$5:$A$504,A266))</f>
        <v/>
      </c>
      <c r="I266" s="29"/>
      <c r="J266" s="34"/>
      <c r="K266" s="35"/>
    </row>
    <row r="267" customFormat="false" ht="15" hidden="false" customHeight="false" outlineLevel="0" collapsed="false">
      <c r="A267" s="32"/>
      <c r="B267" s="29"/>
      <c r="C267" s="29"/>
      <c r="D267" s="25"/>
      <c r="E267" s="25"/>
      <c r="F267" s="18" t="str">
        <f aca="false">IF(AND(D267="",E267=""),"",'Danh mục'!$F$5+SUM($D$5:D267)-SUM($E$5:E267))</f>
        <v/>
      </c>
      <c r="G267" s="33" t="str">
        <f aca="false">IF(OR(A267="",AND(A267=A266)),"",SUMIFS($D$5:$D$504,$A$5:$A$504,A267))</f>
        <v/>
      </c>
      <c r="H267" s="33" t="str">
        <f aca="false">IF(OR(A267="",AND(A267=A266)),"",SUMIFS($E$5:$E$504,$A$5:$A$504,A267))</f>
        <v/>
      </c>
      <c r="I267" s="29"/>
      <c r="J267" s="34"/>
      <c r="K267" s="35"/>
    </row>
    <row r="268" customFormat="false" ht="15" hidden="false" customHeight="false" outlineLevel="0" collapsed="false">
      <c r="A268" s="32"/>
      <c r="B268" s="29"/>
      <c r="C268" s="29"/>
      <c r="D268" s="25"/>
      <c r="E268" s="25"/>
      <c r="F268" s="18" t="str">
        <f aca="false">IF(AND(D268="",E268=""),"",'Danh mục'!$F$5+SUM($D$5:D268)-SUM($E$5:E268))</f>
        <v/>
      </c>
      <c r="G268" s="33" t="str">
        <f aca="false">IF(OR(A268="",AND(A268=A267)),"",SUMIFS($D$5:$D$504,$A$5:$A$504,A268))</f>
        <v/>
      </c>
      <c r="H268" s="33" t="str">
        <f aca="false">IF(OR(A268="",AND(A268=A267)),"",SUMIFS($E$5:$E$504,$A$5:$A$504,A268))</f>
        <v/>
      </c>
      <c r="I268" s="29"/>
      <c r="J268" s="34"/>
      <c r="K268" s="35"/>
    </row>
    <row r="269" customFormat="false" ht="15" hidden="false" customHeight="false" outlineLevel="0" collapsed="false">
      <c r="A269" s="32"/>
      <c r="B269" s="29"/>
      <c r="C269" s="29"/>
      <c r="D269" s="25"/>
      <c r="E269" s="25"/>
      <c r="F269" s="18" t="str">
        <f aca="false">IF(AND(D269="",E269=""),"",'Danh mục'!$F$5+SUM($D$5:D269)-SUM($E$5:E269))</f>
        <v/>
      </c>
      <c r="G269" s="33" t="str">
        <f aca="false">IF(OR(A269="",AND(A269=A268)),"",SUMIFS($D$5:$D$504,$A$5:$A$504,A269))</f>
        <v/>
      </c>
      <c r="H269" s="33" t="str">
        <f aca="false">IF(OR(A269="",AND(A269=A268)),"",SUMIFS($E$5:$E$504,$A$5:$A$504,A269))</f>
        <v/>
      </c>
      <c r="I269" s="29"/>
      <c r="J269" s="34"/>
      <c r="K269" s="35"/>
    </row>
    <row r="270" customFormat="false" ht="15" hidden="false" customHeight="false" outlineLevel="0" collapsed="false">
      <c r="A270" s="32"/>
      <c r="B270" s="29"/>
      <c r="C270" s="29"/>
      <c r="D270" s="25"/>
      <c r="E270" s="25"/>
      <c r="F270" s="18" t="str">
        <f aca="false">IF(AND(D270="",E270=""),"",'Danh mục'!$F$5+SUM($D$5:D270)-SUM($E$5:E270))</f>
        <v/>
      </c>
      <c r="G270" s="33" t="str">
        <f aca="false">IF(OR(A270="",AND(A270=A269)),"",SUMIFS($D$5:$D$504,$A$5:$A$504,A270))</f>
        <v/>
      </c>
      <c r="H270" s="33" t="str">
        <f aca="false">IF(OR(A270="",AND(A270=A269)),"",SUMIFS($E$5:$E$504,$A$5:$A$504,A270))</f>
        <v/>
      </c>
      <c r="I270" s="29"/>
      <c r="J270" s="34"/>
      <c r="K270" s="35"/>
    </row>
    <row r="271" customFormat="false" ht="15" hidden="false" customHeight="false" outlineLevel="0" collapsed="false">
      <c r="A271" s="32"/>
      <c r="B271" s="29"/>
      <c r="C271" s="29"/>
      <c r="D271" s="25"/>
      <c r="E271" s="25"/>
      <c r="F271" s="18" t="str">
        <f aca="false">IF(AND(D271="",E271=""),"",'Danh mục'!$F$5+SUM($D$5:D271)-SUM($E$5:E271))</f>
        <v/>
      </c>
      <c r="G271" s="33" t="str">
        <f aca="false">IF(OR(A271="",AND(A271=A270)),"",SUMIFS($D$5:$D$504,$A$5:$A$504,A271))</f>
        <v/>
      </c>
      <c r="H271" s="33" t="str">
        <f aca="false">IF(OR(A271="",AND(A271=A270)),"",SUMIFS($E$5:$E$504,$A$5:$A$504,A271))</f>
        <v/>
      </c>
      <c r="I271" s="29"/>
      <c r="J271" s="34"/>
      <c r="K271" s="35"/>
    </row>
    <row r="272" customFormat="false" ht="15" hidden="false" customHeight="false" outlineLevel="0" collapsed="false">
      <c r="A272" s="32"/>
      <c r="B272" s="29"/>
      <c r="C272" s="29"/>
      <c r="D272" s="25"/>
      <c r="E272" s="25"/>
      <c r="F272" s="18" t="str">
        <f aca="false">IF(AND(D272="",E272=""),"",'Danh mục'!$F$5+SUM($D$5:D272)-SUM($E$5:E272))</f>
        <v/>
      </c>
      <c r="G272" s="33" t="str">
        <f aca="false">IF(OR(A272="",AND(A272=A271)),"",SUMIFS($D$5:$D$504,$A$5:$A$504,A272))</f>
        <v/>
      </c>
      <c r="H272" s="33" t="str">
        <f aca="false">IF(OR(A272="",AND(A272=A271)),"",SUMIFS($E$5:$E$504,$A$5:$A$504,A272))</f>
        <v/>
      </c>
      <c r="I272" s="29"/>
      <c r="J272" s="34"/>
      <c r="K272" s="35"/>
    </row>
    <row r="273" customFormat="false" ht="15" hidden="false" customHeight="false" outlineLevel="0" collapsed="false">
      <c r="A273" s="32"/>
      <c r="B273" s="29"/>
      <c r="C273" s="29"/>
      <c r="D273" s="25"/>
      <c r="E273" s="25"/>
      <c r="F273" s="18" t="str">
        <f aca="false">IF(AND(D273="",E273=""),"",'Danh mục'!$F$5+SUM($D$5:D273)-SUM($E$5:E273))</f>
        <v/>
      </c>
      <c r="G273" s="33" t="str">
        <f aca="false">IF(OR(A273="",AND(A273=A272)),"",SUMIFS($D$5:$D$504,$A$5:$A$504,A273))</f>
        <v/>
      </c>
      <c r="H273" s="33" t="str">
        <f aca="false">IF(OR(A273="",AND(A273=A272)),"",SUMIFS($E$5:$E$504,$A$5:$A$504,A273))</f>
        <v/>
      </c>
      <c r="I273" s="29"/>
      <c r="J273" s="34"/>
      <c r="K273" s="35"/>
    </row>
    <row r="274" customFormat="false" ht="15" hidden="false" customHeight="false" outlineLevel="0" collapsed="false">
      <c r="A274" s="32"/>
      <c r="B274" s="29"/>
      <c r="C274" s="29"/>
      <c r="D274" s="25"/>
      <c r="E274" s="25"/>
      <c r="F274" s="18" t="str">
        <f aca="false">IF(AND(D274="",E274=""),"",'Danh mục'!$F$5+SUM($D$5:D274)-SUM($E$5:E274))</f>
        <v/>
      </c>
      <c r="G274" s="33" t="str">
        <f aca="false">IF(OR(A274="",AND(A274=A273)),"",SUMIFS($D$5:$D$504,$A$5:$A$504,A274))</f>
        <v/>
      </c>
      <c r="H274" s="33" t="str">
        <f aca="false">IF(OR(A274="",AND(A274=A273)),"",SUMIFS($E$5:$E$504,$A$5:$A$504,A274))</f>
        <v/>
      </c>
      <c r="I274" s="29"/>
      <c r="J274" s="34"/>
      <c r="K274" s="35"/>
    </row>
    <row r="275" customFormat="false" ht="15" hidden="false" customHeight="false" outlineLevel="0" collapsed="false">
      <c r="A275" s="32"/>
      <c r="B275" s="29"/>
      <c r="C275" s="29"/>
      <c r="D275" s="25"/>
      <c r="E275" s="25"/>
      <c r="F275" s="18" t="str">
        <f aca="false">IF(AND(D275="",E275=""),"",'Danh mục'!$F$5+SUM($D$5:D275)-SUM($E$5:E275))</f>
        <v/>
      </c>
      <c r="G275" s="33" t="str">
        <f aca="false">IF(OR(A275="",AND(A275=A274)),"",SUMIFS($D$5:$D$504,$A$5:$A$504,A275))</f>
        <v/>
      </c>
      <c r="H275" s="33" t="str">
        <f aca="false">IF(OR(A275="",AND(A275=A274)),"",SUMIFS($E$5:$E$504,$A$5:$A$504,A275))</f>
        <v/>
      </c>
      <c r="I275" s="29"/>
      <c r="J275" s="34"/>
      <c r="K275" s="35"/>
    </row>
    <row r="276" customFormat="false" ht="15" hidden="false" customHeight="false" outlineLevel="0" collapsed="false">
      <c r="A276" s="32"/>
      <c r="B276" s="29"/>
      <c r="C276" s="29"/>
      <c r="D276" s="25"/>
      <c r="E276" s="25"/>
      <c r="F276" s="18" t="str">
        <f aca="false">IF(AND(D276="",E276=""),"",'Danh mục'!$F$5+SUM($D$5:D276)-SUM($E$5:E276))</f>
        <v/>
      </c>
      <c r="G276" s="33" t="str">
        <f aca="false">IF(OR(A276="",AND(A276=A275)),"",SUMIFS($D$5:$D$504,$A$5:$A$504,A276))</f>
        <v/>
      </c>
      <c r="H276" s="33" t="str">
        <f aca="false">IF(OR(A276="",AND(A276=A275)),"",SUMIFS($E$5:$E$504,$A$5:$A$504,A276))</f>
        <v/>
      </c>
      <c r="I276" s="29"/>
      <c r="J276" s="34"/>
      <c r="K276" s="35"/>
    </row>
    <row r="277" customFormat="false" ht="15" hidden="false" customHeight="false" outlineLevel="0" collapsed="false">
      <c r="A277" s="32"/>
      <c r="B277" s="29"/>
      <c r="C277" s="29"/>
      <c r="D277" s="25"/>
      <c r="E277" s="25"/>
      <c r="F277" s="18" t="str">
        <f aca="false">IF(AND(D277="",E277=""),"",'Danh mục'!$F$5+SUM($D$5:D277)-SUM($E$5:E277))</f>
        <v/>
      </c>
      <c r="G277" s="33" t="str">
        <f aca="false">IF(OR(A277="",AND(A277=A276)),"",SUMIFS($D$5:$D$504,$A$5:$A$504,A277))</f>
        <v/>
      </c>
      <c r="H277" s="33" t="str">
        <f aca="false">IF(OR(A277="",AND(A277=A276)),"",SUMIFS($E$5:$E$504,$A$5:$A$504,A277))</f>
        <v/>
      </c>
      <c r="I277" s="29"/>
      <c r="J277" s="34"/>
      <c r="K277" s="35"/>
    </row>
    <row r="278" customFormat="false" ht="15" hidden="false" customHeight="false" outlineLevel="0" collapsed="false">
      <c r="A278" s="32"/>
      <c r="B278" s="29"/>
      <c r="C278" s="29"/>
      <c r="D278" s="25"/>
      <c r="E278" s="25"/>
      <c r="F278" s="18" t="str">
        <f aca="false">IF(AND(D278="",E278=""),"",'Danh mục'!$F$5+SUM($D$5:D278)-SUM($E$5:E278))</f>
        <v/>
      </c>
      <c r="G278" s="33" t="str">
        <f aca="false">IF(OR(A278="",AND(A278=A277)),"",SUMIFS($D$5:$D$504,$A$5:$A$504,A278))</f>
        <v/>
      </c>
      <c r="H278" s="33" t="str">
        <f aca="false">IF(OR(A278="",AND(A278=A277)),"",SUMIFS($E$5:$E$504,$A$5:$A$504,A278))</f>
        <v/>
      </c>
      <c r="I278" s="29"/>
      <c r="J278" s="34"/>
      <c r="K278" s="35"/>
    </row>
    <row r="279" customFormat="false" ht="15" hidden="false" customHeight="false" outlineLevel="0" collapsed="false">
      <c r="A279" s="32"/>
      <c r="B279" s="29"/>
      <c r="C279" s="29"/>
      <c r="D279" s="25"/>
      <c r="E279" s="25"/>
      <c r="F279" s="18" t="str">
        <f aca="false">IF(AND(D279="",E279=""),"",'Danh mục'!$F$5+SUM($D$5:D279)-SUM($E$5:E279))</f>
        <v/>
      </c>
      <c r="G279" s="33" t="str">
        <f aca="false">IF(OR(A279="",AND(A279=A278)),"",SUMIFS($D$5:$D$504,$A$5:$A$504,A279))</f>
        <v/>
      </c>
      <c r="H279" s="33" t="str">
        <f aca="false">IF(OR(A279="",AND(A279=A278)),"",SUMIFS($E$5:$E$504,$A$5:$A$504,A279))</f>
        <v/>
      </c>
      <c r="I279" s="29"/>
      <c r="J279" s="34"/>
      <c r="K279" s="35"/>
    </row>
    <row r="280" customFormat="false" ht="15" hidden="false" customHeight="false" outlineLevel="0" collapsed="false">
      <c r="A280" s="32"/>
      <c r="B280" s="29"/>
      <c r="C280" s="29"/>
      <c r="D280" s="25"/>
      <c r="E280" s="25"/>
      <c r="F280" s="18" t="str">
        <f aca="false">IF(AND(D280="",E280=""),"",'Danh mục'!$F$5+SUM($D$5:D280)-SUM($E$5:E280))</f>
        <v/>
      </c>
      <c r="G280" s="33" t="str">
        <f aca="false">IF(OR(A280="",AND(A280=A279)),"",SUMIFS($D$5:$D$504,$A$5:$A$504,A280))</f>
        <v/>
      </c>
      <c r="H280" s="33" t="str">
        <f aca="false">IF(OR(A280="",AND(A280=A279)),"",SUMIFS($E$5:$E$504,$A$5:$A$504,A280))</f>
        <v/>
      </c>
      <c r="I280" s="29"/>
      <c r="J280" s="34"/>
      <c r="K280" s="35"/>
    </row>
    <row r="281" customFormat="false" ht="15" hidden="false" customHeight="false" outlineLevel="0" collapsed="false">
      <c r="A281" s="32"/>
      <c r="B281" s="29"/>
      <c r="C281" s="29"/>
      <c r="D281" s="25"/>
      <c r="E281" s="25"/>
      <c r="F281" s="18" t="str">
        <f aca="false">IF(AND(D281="",E281=""),"",'Danh mục'!$F$5+SUM($D$5:D281)-SUM($E$5:E281))</f>
        <v/>
      </c>
      <c r="G281" s="33" t="str">
        <f aca="false">IF(OR(A281="",AND(A281=A280)),"",SUMIFS($D$5:$D$504,$A$5:$A$504,A281))</f>
        <v/>
      </c>
      <c r="H281" s="33" t="str">
        <f aca="false">IF(OR(A281="",AND(A281=A280)),"",SUMIFS($E$5:$E$504,$A$5:$A$504,A281))</f>
        <v/>
      </c>
      <c r="I281" s="29"/>
      <c r="J281" s="34"/>
      <c r="K281" s="35"/>
    </row>
    <row r="282" customFormat="false" ht="15" hidden="false" customHeight="false" outlineLevel="0" collapsed="false">
      <c r="A282" s="32"/>
      <c r="B282" s="29"/>
      <c r="C282" s="29"/>
      <c r="D282" s="25"/>
      <c r="E282" s="25"/>
      <c r="F282" s="18" t="str">
        <f aca="false">IF(AND(D282="",E282=""),"",'Danh mục'!$F$5+SUM($D$5:D282)-SUM($E$5:E282))</f>
        <v/>
      </c>
      <c r="G282" s="33" t="str">
        <f aca="false">IF(OR(A282="",AND(A282=A281)),"",SUMIFS($D$5:$D$504,$A$5:$A$504,A282))</f>
        <v/>
      </c>
      <c r="H282" s="33" t="str">
        <f aca="false">IF(OR(A282="",AND(A282=A281)),"",SUMIFS($E$5:$E$504,$A$5:$A$504,A282))</f>
        <v/>
      </c>
      <c r="I282" s="29"/>
      <c r="J282" s="34"/>
      <c r="K282" s="35"/>
    </row>
    <row r="283" customFormat="false" ht="15" hidden="false" customHeight="false" outlineLevel="0" collapsed="false">
      <c r="A283" s="32"/>
      <c r="B283" s="29"/>
      <c r="C283" s="29"/>
      <c r="D283" s="25"/>
      <c r="E283" s="25"/>
      <c r="F283" s="18" t="str">
        <f aca="false">IF(AND(D283="",E283=""),"",'Danh mục'!$F$5+SUM($D$5:D283)-SUM($E$5:E283))</f>
        <v/>
      </c>
      <c r="G283" s="33" t="str">
        <f aca="false">IF(OR(A283="",AND(A283=A282)),"",SUMIFS($D$5:$D$504,$A$5:$A$504,A283))</f>
        <v/>
      </c>
      <c r="H283" s="33" t="str">
        <f aca="false">IF(OR(A283="",AND(A283=A282)),"",SUMIFS($E$5:$E$504,$A$5:$A$504,A283))</f>
        <v/>
      </c>
      <c r="I283" s="29"/>
      <c r="J283" s="34"/>
      <c r="K283" s="35"/>
    </row>
    <row r="284" customFormat="false" ht="15" hidden="false" customHeight="false" outlineLevel="0" collapsed="false">
      <c r="A284" s="32"/>
      <c r="B284" s="29"/>
      <c r="C284" s="29"/>
      <c r="D284" s="25"/>
      <c r="E284" s="25"/>
      <c r="F284" s="18" t="str">
        <f aca="false">IF(AND(D284="",E284=""),"",'Danh mục'!$F$5+SUM($D$5:D284)-SUM($E$5:E284))</f>
        <v/>
      </c>
      <c r="G284" s="33" t="str">
        <f aca="false">IF(OR(A284="",AND(A284=A283)),"",SUMIFS($D$5:$D$504,$A$5:$A$504,A284))</f>
        <v/>
      </c>
      <c r="H284" s="33" t="str">
        <f aca="false">IF(OR(A284="",AND(A284=A283)),"",SUMIFS($E$5:$E$504,$A$5:$A$504,A284))</f>
        <v/>
      </c>
      <c r="I284" s="29"/>
      <c r="J284" s="34"/>
      <c r="K284" s="35"/>
    </row>
    <row r="285" customFormat="false" ht="15" hidden="false" customHeight="false" outlineLevel="0" collapsed="false">
      <c r="A285" s="32"/>
      <c r="B285" s="29"/>
      <c r="C285" s="29"/>
      <c r="D285" s="25"/>
      <c r="E285" s="25"/>
      <c r="F285" s="18" t="str">
        <f aca="false">IF(AND(D285="",E285=""),"",'Danh mục'!$F$5+SUM($D$5:D285)-SUM($E$5:E285))</f>
        <v/>
      </c>
      <c r="G285" s="33" t="str">
        <f aca="false">IF(OR(A285="",AND(A285=A284)),"",SUMIFS($D$5:$D$504,$A$5:$A$504,A285))</f>
        <v/>
      </c>
      <c r="H285" s="33" t="str">
        <f aca="false">IF(OR(A285="",AND(A285=A284)),"",SUMIFS($E$5:$E$504,$A$5:$A$504,A285))</f>
        <v/>
      </c>
      <c r="I285" s="29"/>
      <c r="J285" s="34"/>
      <c r="K285" s="35"/>
    </row>
    <row r="286" customFormat="false" ht="15" hidden="false" customHeight="false" outlineLevel="0" collapsed="false">
      <c r="A286" s="32"/>
      <c r="B286" s="29"/>
      <c r="C286" s="29"/>
      <c r="D286" s="25"/>
      <c r="E286" s="25"/>
      <c r="F286" s="18" t="str">
        <f aca="false">IF(AND(D286="",E286=""),"",'Danh mục'!$F$5+SUM($D$5:D286)-SUM($E$5:E286))</f>
        <v/>
      </c>
      <c r="G286" s="33" t="str">
        <f aca="false">IF(OR(A286="",AND(A286=A285)),"",SUMIFS($D$5:$D$504,$A$5:$A$504,A286))</f>
        <v/>
      </c>
      <c r="H286" s="33" t="str">
        <f aca="false">IF(OR(A286="",AND(A286=A285)),"",SUMIFS($E$5:$E$504,$A$5:$A$504,A286))</f>
        <v/>
      </c>
      <c r="I286" s="29"/>
      <c r="J286" s="34"/>
      <c r="K286" s="35"/>
    </row>
    <row r="287" customFormat="false" ht="15" hidden="false" customHeight="false" outlineLevel="0" collapsed="false">
      <c r="A287" s="32"/>
      <c r="B287" s="29"/>
      <c r="C287" s="29"/>
      <c r="D287" s="25"/>
      <c r="E287" s="25"/>
      <c r="F287" s="18" t="str">
        <f aca="false">IF(AND(D287="",E287=""),"",'Danh mục'!$F$5+SUM($D$5:D287)-SUM($E$5:E287))</f>
        <v/>
      </c>
      <c r="G287" s="33" t="str">
        <f aca="false">IF(OR(A287="",AND(A287=A286)),"",SUMIFS($D$5:$D$504,$A$5:$A$504,A287))</f>
        <v/>
      </c>
      <c r="H287" s="33" t="str">
        <f aca="false">IF(OR(A287="",AND(A287=A286)),"",SUMIFS($E$5:$E$504,$A$5:$A$504,A287))</f>
        <v/>
      </c>
      <c r="I287" s="29"/>
      <c r="J287" s="34"/>
      <c r="K287" s="35"/>
    </row>
    <row r="288" customFormat="false" ht="15" hidden="false" customHeight="false" outlineLevel="0" collapsed="false">
      <c r="A288" s="32"/>
      <c r="B288" s="29"/>
      <c r="C288" s="29"/>
      <c r="D288" s="25"/>
      <c r="E288" s="25"/>
      <c r="F288" s="18" t="str">
        <f aca="false">IF(AND(D288="",E288=""),"",'Danh mục'!$F$5+SUM($D$5:D288)-SUM($E$5:E288))</f>
        <v/>
      </c>
      <c r="G288" s="33" t="str">
        <f aca="false">IF(OR(A288="",AND(A288=A287)),"",SUMIFS($D$5:$D$504,$A$5:$A$504,A288))</f>
        <v/>
      </c>
      <c r="H288" s="33" t="str">
        <f aca="false">IF(OR(A288="",AND(A288=A287)),"",SUMIFS($E$5:$E$504,$A$5:$A$504,A288))</f>
        <v/>
      </c>
      <c r="I288" s="29"/>
      <c r="J288" s="34"/>
      <c r="K288" s="35"/>
    </row>
    <row r="289" customFormat="false" ht="15" hidden="false" customHeight="false" outlineLevel="0" collapsed="false">
      <c r="A289" s="32"/>
      <c r="B289" s="29"/>
      <c r="C289" s="29"/>
      <c r="D289" s="25"/>
      <c r="E289" s="25"/>
      <c r="F289" s="18" t="str">
        <f aca="false">IF(AND(D289="",E289=""),"",'Danh mục'!$F$5+SUM($D$5:D289)-SUM($E$5:E289))</f>
        <v/>
      </c>
      <c r="G289" s="33" t="str">
        <f aca="false">IF(OR(A289="",AND(A289=A288)),"",SUMIFS($D$5:$D$504,$A$5:$A$504,A289))</f>
        <v/>
      </c>
      <c r="H289" s="33" t="str">
        <f aca="false">IF(OR(A289="",AND(A289=A288)),"",SUMIFS($E$5:$E$504,$A$5:$A$504,A289))</f>
        <v/>
      </c>
      <c r="I289" s="29"/>
      <c r="J289" s="34"/>
      <c r="K289" s="35"/>
    </row>
    <row r="290" customFormat="false" ht="15" hidden="false" customHeight="false" outlineLevel="0" collapsed="false">
      <c r="A290" s="32"/>
      <c r="B290" s="29"/>
      <c r="C290" s="29"/>
      <c r="D290" s="25"/>
      <c r="E290" s="25"/>
      <c r="F290" s="18" t="str">
        <f aca="false">IF(AND(D290="",E290=""),"",'Danh mục'!$F$5+SUM($D$5:D290)-SUM($E$5:E290))</f>
        <v/>
      </c>
      <c r="G290" s="33" t="str">
        <f aca="false">IF(OR(A290="",AND(A290=A289)),"",SUMIFS($D$5:$D$504,$A$5:$A$504,A290))</f>
        <v/>
      </c>
      <c r="H290" s="33" t="str">
        <f aca="false">IF(OR(A290="",AND(A290=A289)),"",SUMIFS($E$5:$E$504,$A$5:$A$504,A290))</f>
        <v/>
      </c>
      <c r="I290" s="29"/>
      <c r="J290" s="34"/>
      <c r="K290" s="35"/>
    </row>
    <row r="291" customFormat="false" ht="15" hidden="false" customHeight="false" outlineLevel="0" collapsed="false">
      <c r="A291" s="32"/>
      <c r="B291" s="29"/>
      <c r="C291" s="29"/>
      <c r="D291" s="25"/>
      <c r="E291" s="25"/>
      <c r="F291" s="18" t="str">
        <f aca="false">IF(AND(D291="",E291=""),"",'Danh mục'!$F$5+SUM($D$5:D291)-SUM($E$5:E291))</f>
        <v/>
      </c>
      <c r="G291" s="33" t="str">
        <f aca="false">IF(OR(A291="",AND(A291=A290)),"",SUMIFS($D$5:$D$504,$A$5:$A$504,A291))</f>
        <v/>
      </c>
      <c r="H291" s="33" t="str">
        <f aca="false">IF(OR(A291="",AND(A291=A290)),"",SUMIFS($E$5:$E$504,$A$5:$A$504,A291))</f>
        <v/>
      </c>
      <c r="I291" s="29"/>
      <c r="J291" s="34"/>
      <c r="K291" s="35"/>
    </row>
    <row r="292" customFormat="false" ht="15" hidden="false" customHeight="false" outlineLevel="0" collapsed="false">
      <c r="A292" s="32"/>
      <c r="B292" s="29"/>
      <c r="C292" s="29"/>
      <c r="D292" s="25"/>
      <c r="E292" s="25"/>
      <c r="F292" s="18" t="str">
        <f aca="false">IF(AND(D292="",E292=""),"",'Danh mục'!$F$5+SUM($D$5:D292)-SUM($E$5:E292))</f>
        <v/>
      </c>
      <c r="G292" s="33" t="str">
        <f aca="false">IF(OR(A292="",AND(A292=A291)),"",SUMIFS($D$5:$D$504,$A$5:$A$504,A292))</f>
        <v/>
      </c>
      <c r="H292" s="33" t="str">
        <f aca="false">IF(OR(A292="",AND(A292=A291)),"",SUMIFS($E$5:$E$504,$A$5:$A$504,A292))</f>
        <v/>
      </c>
      <c r="I292" s="29"/>
      <c r="J292" s="34"/>
      <c r="K292" s="35"/>
    </row>
    <row r="293" customFormat="false" ht="15" hidden="false" customHeight="false" outlineLevel="0" collapsed="false">
      <c r="A293" s="32"/>
      <c r="B293" s="29"/>
      <c r="C293" s="29"/>
      <c r="D293" s="25"/>
      <c r="E293" s="25"/>
      <c r="F293" s="18" t="str">
        <f aca="false">IF(AND(D293="",E293=""),"",'Danh mục'!$F$5+SUM($D$5:D293)-SUM($E$5:E293))</f>
        <v/>
      </c>
      <c r="G293" s="33" t="str">
        <f aca="false">IF(OR(A293="",AND(A293=A292)),"",SUMIFS($D$5:$D$504,$A$5:$A$504,A293))</f>
        <v/>
      </c>
      <c r="H293" s="33" t="str">
        <f aca="false">IF(OR(A293="",AND(A293=A292)),"",SUMIFS($E$5:$E$504,$A$5:$A$504,A293))</f>
        <v/>
      </c>
      <c r="I293" s="29"/>
      <c r="J293" s="34"/>
      <c r="K293" s="35"/>
    </row>
    <row r="294" customFormat="false" ht="15" hidden="false" customHeight="false" outlineLevel="0" collapsed="false">
      <c r="A294" s="32"/>
      <c r="B294" s="29"/>
      <c r="C294" s="29"/>
      <c r="D294" s="25"/>
      <c r="E294" s="25"/>
      <c r="F294" s="18" t="str">
        <f aca="false">IF(AND(D294="",E294=""),"",'Danh mục'!$F$5+SUM($D$5:D294)-SUM($E$5:E294))</f>
        <v/>
      </c>
      <c r="G294" s="33" t="str">
        <f aca="false">IF(OR(A294="",AND(A294=A293)),"",SUMIFS($D$5:$D$504,$A$5:$A$504,A294))</f>
        <v/>
      </c>
      <c r="H294" s="33" t="str">
        <f aca="false">IF(OR(A294="",AND(A294=A293)),"",SUMIFS($E$5:$E$504,$A$5:$A$504,A294))</f>
        <v/>
      </c>
      <c r="I294" s="29"/>
      <c r="J294" s="34"/>
      <c r="K294" s="35"/>
    </row>
    <row r="295" customFormat="false" ht="15" hidden="false" customHeight="false" outlineLevel="0" collapsed="false">
      <c r="A295" s="32"/>
      <c r="B295" s="29"/>
      <c r="C295" s="29"/>
      <c r="D295" s="25"/>
      <c r="E295" s="25"/>
      <c r="F295" s="18" t="str">
        <f aca="false">IF(AND(D295="",E295=""),"",'Danh mục'!$F$5+SUM($D$5:D295)-SUM($E$5:E295))</f>
        <v/>
      </c>
      <c r="G295" s="33" t="str">
        <f aca="false">IF(OR(A295="",AND(A295=A294)),"",SUMIFS($D$5:$D$504,$A$5:$A$504,A295))</f>
        <v/>
      </c>
      <c r="H295" s="33" t="str">
        <f aca="false">IF(OR(A295="",AND(A295=A294)),"",SUMIFS($E$5:$E$504,$A$5:$A$504,A295))</f>
        <v/>
      </c>
      <c r="I295" s="29"/>
      <c r="J295" s="34"/>
      <c r="K295" s="35"/>
    </row>
    <row r="296" customFormat="false" ht="15" hidden="false" customHeight="false" outlineLevel="0" collapsed="false">
      <c r="A296" s="32"/>
      <c r="B296" s="29"/>
      <c r="C296" s="29"/>
      <c r="D296" s="25"/>
      <c r="E296" s="25"/>
      <c r="F296" s="18" t="str">
        <f aca="false">IF(AND(D296="",E296=""),"",'Danh mục'!$F$5+SUM($D$5:D296)-SUM($E$5:E296))</f>
        <v/>
      </c>
      <c r="G296" s="33" t="str">
        <f aca="false">IF(OR(A296="",AND(A296=A295)),"",SUMIFS($D$5:$D$504,$A$5:$A$504,A296))</f>
        <v/>
      </c>
      <c r="H296" s="33" t="str">
        <f aca="false">IF(OR(A296="",AND(A296=A295)),"",SUMIFS($E$5:$E$504,$A$5:$A$504,A296))</f>
        <v/>
      </c>
      <c r="I296" s="29"/>
      <c r="J296" s="34"/>
      <c r="K296" s="35"/>
    </row>
    <row r="297" customFormat="false" ht="15" hidden="false" customHeight="false" outlineLevel="0" collapsed="false">
      <c r="A297" s="32"/>
      <c r="B297" s="29"/>
      <c r="C297" s="29"/>
      <c r="D297" s="25"/>
      <c r="E297" s="25"/>
      <c r="F297" s="18" t="str">
        <f aca="false">IF(AND(D297="",E297=""),"",'Danh mục'!$F$5+SUM($D$5:D297)-SUM($E$5:E297))</f>
        <v/>
      </c>
      <c r="G297" s="33" t="str">
        <f aca="false">IF(OR(A297="",AND(A297=A296)),"",SUMIFS($D$5:$D$504,$A$5:$A$504,A297))</f>
        <v/>
      </c>
      <c r="H297" s="33" t="str">
        <f aca="false">IF(OR(A297="",AND(A297=A296)),"",SUMIFS($E$5:$E$504,$A$5:$A$504,A297))</f>
        <v/>
      </c>
      <c r="I297" s="29"/>
      <c r="J297" s="34"/>
      <c r="K297" s="35"/>
    </row>
    <row r="298" customFormat="false" ht="15" hidden="false" customHeight="false" outlineLevel="0" collapsed="false">
      <c r="A298" s="32"/>
      <c r="B298" s="29"/>
      <c r="C298" s="29"/>
      <c r="D298" s="25"/>
      <c r="E298" s="25"/>
      <c r="F298" s="18" t="str">
        <f aca="false">IF(AND(D298="",E298=""),"",'Danh mục'!$F$5+SUM($D$5:D298)-SUM($E$5:E298))</f>
        <v/>
      </c>
      <c r="G298" s="33" t="str">
        <f aca="false">IF(OR(A298="",AND(A298=A297)),"",SUMIFS($D$5:$D$504,$A$5:$A$504,A298))</f>
        <v/>
      </c>
      <c r="H298" s="33" t="str">
        <f aca="false">IF(OR(A298="",AND(A298=A297)),"",SUMIFS($E$5:$E$504,$A$5:$A$504,A298))</f>
        <v/>
      </c>
      <c r="I298" s="29"/>
      <c r="J298" s="34"/>
      <c r="K298" s="35"/>
    </row>
    <row r="299" customFormat="false" ht="15" hidden="false" customHeight="false" outlineLevel="0" collapsed="false">
      <c r="A299" s="32"/>
      <c r="B299" s="29"/>
      <c r="C299" s="29"/>
      <c r="D299" s="25"/>
      <c r="E299" s="25"/>
      <c r="F299" s="18" t="str">
        <f aca="false">IF(AND(D299="",E299=""),"",'Danh mục'!$F$5+SUM($D$5:D299)-SUM($E$5:E299))</f>
        <v/>
      </c>
      <c r="G299" s="33" t="str">
        <f aca="false">IF(OR(A299="",AND(A299=A298)),"",SUMIFS($D$5:$D$504,$A$5:$A$504,A299))</f>
        <v/>
      </c>
      <c r="H299" s="33" t="str">
        <f aca="false">IF(OR(A299="",AND(A299=A298)),"",SUMIFS($E$5:$E$504,$A$5:$A$504,A299))</f>
        <v/>
      </c>
      <c r="I299" s="29"/>
      <c r="J299" s="34"/>
      <c r="K299" s="35"/>
    </row>
    <row r="300" customFormat="false" ht="15" hidden="false" customHeight="false" outlineLevel="0" collapsed="false">
      <c r="A300" s="32"/>
      <c r="B300" s="29"/>
      <c r="C300" s="29"/>
      <c r="D300" s="25"/>
      <c r="E300" s="25"/>
      <c r="F300" s="18" t="str">
        <f aca="false">IF(AND(D300="",E300=""),"",'Danh mục'!$F$5+SUM($D$5:D300)-SUM($E$5:E300))</f>
        <v/>
      </c>
      <c r="G300" s="33" t="str">
        <f aca="false">IF(OR(A300="",AND(A300=A299)),"",SUMIFS($D$5:$D$504,$A$5:$A$504,A300))</f>
        <v/>
      </c>
      <c r="H300" s="33" t="str">
        <f aca="false">IF(OR(A300="",AND(A300=A299)),"",SUMIFS($E$5:$E$504,$A$5:$A$504,A300))</f>
        <v/>
      </c>
      <c r="I300" s="29"/>
      <c r="J300" s="34"/>
      <c r="K300" s="35"/>
    </row>
    <row r="301" customFormat="false" ht="15" hidden="false" customHeight="false" outlineLevel="0" collapsed="false">
      <c r="A301" s="32"/>
      <c r="B301" s="29"/>
      <c r="C301" s="29"/>
      <c r="D301" s="25"/>
      <c r="E301" s="25"/>
      <c r="F301" s="18" t="str">
        <f aca="false">IF(AND(D301="",E301=""),"",'Danh mục'!$F$5+SUM($D$5:D301)-SUM($E$5:E301))</f>
        <v/>
      </c>
      <c r="G301" s="33" t="str">
        <f aca="false">IF(OR(A301="",AND(A301=A300)),"",SUMIFS($D$5:$D$504,$A$5:$A$504,A301))</f>
        <v/>
      </c>
      <c r="H301" s="33" t="str">
        <f aca="false">IF(OR(A301="",AND(A301=A300)),"",SUMIFS($E$5:$E$504,$A$5:$A$504,A301))</f>
        <v/>
      </c>
      <c r="I301" s="29"/>
      <c r="J301" s="34"/>
      <c r="K301" s="35"/>
    </row>
    <row r="302" customFormat="false" ht="15" hidden="false" customHeight="false" outlineLevel="0" collapsed="false">
      <c r="A302" s="32"/>
      <c r="B302" s="29"/>
      <c r="C302" s="29"/>
      <c r="D302" s="25"/>
      <c r="E302" s="25"/>
      <c r="F302" s="18" t="str">
        <f aca="false">IF(AND(D302="",E302=""),"",'Danh mục'!$F$5+SUM($D$5:D302)-SUM($E$5:E302))</f>
        <v/>
      </c>
      <c r="G302" s="33" t="str">
        <f aca="false">IF(OR(A302="",AND(A302=A301)),"",SUMIFS($D$5:$D$504,$A$5:$A$504,A302))</f>
        <v/>
      </c>
      <c r="H302" s="33" t="str">
        <f aca="false">IF(OR(A302="",AND(A302=A301)),"",SUMIFS($E$5:$E$504,$A$5:$A$504,A302))</f>
        <v/>
      </c>
      <c r="I302" s="29"/>
      <c r="J302" s="34"/>
      <c r="K302" s="35"/>
    </row>
    <row r="303" customFormat="false" ht="15" hidden="false" customHeight="false" outlineLevel="0" collapsed="false">
      <c r="A303" s="32"/>
      <c r="B303" s="29"/>
      <c r="C303" s="29"/>
      <c r="D303" s="25"/>
      <c r="E303" s="25"/>
      <c r="F303" s="18" t="str">
        <f aca="false">IF(AND(D303="",E303=""),"",'Danh mục'!$F$5+SUM($D$5:D303)-SUM($E$5:E303))</f>
        <v/>
      </c>
      <c r="G303" s="33" t="str">
        <f aca="false">IF(OR(A303="",AND(A303=A302)),"",SUMIFS($D$5:$D$504,$A$5:$A$504,A303))</f>
        <v/>
      </c>
      <c r="H303" s="33" t="str">
        <f aca="false">IF(OR(A303="",AND(A303=A302)),"",SUMIFS($E$5:$E$504,$A$5:$A$504,A303))</f>
        <v/>
      </c>
      <c r="I303" s="29"/>
      <c r="J303" s="34"/>
      <c r="K303" s="35"/>
    </row>
    <row r="304" customFormat="false" ht="15" hidden="false" customHeight="false" outlineLevel="0" collapsed="false">
      <c r="A304" s="32"/>
      <c r="B304" s="29"/>
      <c r="C304" s="29"/>
      <c r="D304" s="25"/>
      <c r="E304" s="25"/>
      <c r="F304" s="18" t="str">
        <f aca="false">IF(AND(D304="",E304=""),"",'Danh mục'!$F$5+SUM($D$5:D304)-SUM($E$5:E304))</f>
        <v/>
      </c>
      <c r="G304" s="33" t="str">
        <f aca="false">IF(OR(A304="",AND(A304=A303)),"",SUMIFS($D$5:$D$504,$A$5:$A$504,A304))</f>
        <v/>
      </c>
      <c r="H304" s="33" t="str">
        <f aca="false">IF(OR(A304="",AND(A304=A303)),"",SUMIFS($E$5:$E$504,$A$5:$A$504,A304))</f>
        <v/>
      </c>
      <c r="I304" s="29"/>
      <c r="J304" s="34"/>
      <c r="K304" s="35"/>
    </row>
    <row r="305" customFormat="false" ht="15" hidden="false" customHeight="false" outlineLevel="0" collapsed="false">
      <c r="A305" s="32"/>
      <c r="B305" s="29"/>
      <c r="C305" s="29"/>
      <c r="D305" s="25"/>
      <c r="E305" s="25"/>
      <c r="F305" s="18" t="str">
        <f aca="false">IF(AND(D305="",E305=""),"",'Danh mục'!$F$5+SUM($D$5:D305)-SUM($E$5:E305))</f>
        <v/>
      </c>
      <c r="G305" s="33" t="str">
        <f aca="false">IF(OR(A305="",AND(A305=A304)),"",SUMIFS($D$5:$D$504,$A$5:$A$504,A305))</f>
        <v/>
      </c>
      <c r="H305" s="33" t="str">
        <f aca="false">IF(OR(A305="",AND(A305=A304)),"",SUMIFS($E$5:$E$504,$A$5:$A$504,A305))</f>
        <v/>
      </c>
      <c r="I305" s="29"/>
      <c r="J305" s="34"/>
      <c r="K305" s="35"/>
    </row>
    <row r="306" customFormat="false" ht="15" hidden="false" customHeight="false" outlineLevel="0" collapsed="false">
      <c r="A306" s="32"/>
      <c r="B306" s="29"/>
      <c r="C306" s="29"/>
      <c r="D306" s="25"/>
      <c r="E306" s="25"/>
      <c r="F306" s="18" t="str">
        <f aca="false">IF(AND(D306="",E306=""),"",'Danh mục'!$F$5+SUM($D$5:D306)-SUM($E$5:E306))</f>
        <v/>
      </c>
      <c r="G306" s="33" t="str">
        <f aca="false">IF(OR(A306="",AND(A306=A305)),"",SUMIFS($D$5:$D$504,$A$5:$A$504,A306))</f>
        <v/>
      </c>
      <c r="H306" s="33" t="str">
        <f aca="false">IF(OR(A306="",AND(A306=A305)),"",SUMIFS($E$5:$E$504,$A$5:$A$504,A306))</f>
        <v/>
      </c>
      <c r="I306" s="29"/>
      <c r="J306" s="34"/>
      <c r="K306" s="35"/>
    </row>
    <row r="307" customFormat="false" ht="15" hidden="false" customHeight="false" outlineLevel="0" collapsed="false">
      <c r="A307" s="32"/>
      <c r="B307" s="29"/>
      <c r="C307" s="29"/>
      <c r="D307" s="25"/>
      <c r="E307" s="25"/>
      <c r="F307" s="18" t="str">
        <f aca="false">IF(AND(D307="",E307=""),"",'Danh mục'!$F$5+SUM($D$5:D307)-SUM($E$5:E307))</f>
        <v/>
      </c>
      <c r="G307" s="33" t="str">
        <f aca="false">IF(OR(A307="",AND(A307=A306)),"",SUMIFS($D$5:$D$504,$A$5:$A$504,A307))</f>
        <v/>
      </c>
      <c r="H307" s="33" t="str">
        <f aca="false">IF(OR(A307="",AND(A307=A306)),"",SUMIFS($E$5:$E$504,$A$5:$A$504,A307))</f>
        <v/>
      </c>
      <c r="I307" s="29"/>
      <c r="J307" s="34"/>
      <c r="K307" s="35"/>
    </row>
    <row r="308" customFormat="false" ht="15" hidden="false" customHeight="false" outlineLevel="0" collapsed="false">
      <c r="A308" s="32"/>
      <c r="B308" s="29"/>
      <c r="C308" s="29"/>
      <c r="D308" s="25"/>
      <c r="E308" s="25"/>
      <c r="F308" s="18" t="str">
        <f aca="false">IF(AND(D308="",E308=""),"",'Danh mục'!$F$5+SUM($D$5:D308)-SUM($E$5:E308))</f>
        <v/>
      </c>
      <c r="G308" s="33" t="str">
        <f aca="false">IF(OR(A308="",AND(A308=A307)),"",SUMIFS($D$5:$D$504,$A$5:$A$504,A308))</f>
        <v/>
      </c>
      <c r="H308" s="33" t="str">
        <f aca="false">IF(OR(A308="",AND(A308=A307)),"",SUMIFS($E$5:$E$504,$A$5:$A$504,A308))</f>
        <v/>
      </c>
      <c r="I308" s="29"/>
      <c r="J308" s="34"/>
      <c r="K308" s="35"/>
    </row>
    <row r="309" customFormat="false" ht="15" hidden="false" customHeight="false" outlineLevel="0" collapsed="false">
      <c r="A309" s="32"/>
      <c r="B309" s="29"/>
      <c r="C309" s="29"/>
      <c r="D309" s="25"/>
      <c r="E309" s="25"/>
      <c r="F309" s="18" t="str">
        <f aca="false">IF(AND(D309="",E309=""),"",'Danh mục'!$F$5+SUM($D$5:D309)-SUM($E$5:E309))</f>
        <v/>
      </c>
      <c r="G309" s="33" t="str">
        <f aca="false">IF(OR(A309="",AND(A309=A308)),"",SUMIFS($D$5:$D$504,$A$5:$A$504,A309))</f>
        <v/>
      </c>
      <c r="H309" s="33" t="str">
        <f aca="false">IF(OR(A309="",AND(A309=A308)),"",SUMIFS($E$5:$E$504,$A$5:$A$504,A309))</f>
        <v/>
      </c>
      <c r="I309" s="29"/>
      <c r="J309" s="34"/>
      <c r="K309" s="35"/>
    </row>
    <row r="310" customFormat="false" ht="15" hidden="false" customHeight="false" outlineLevel="0" collapsed="false">
      <c r="A310" s="32"/>
      <c r="B310" s="29"/>
      <c r="C310" s="29"/>
      <c r="D310" s="25"/>
      <c r="E310" s="25"/>
      <c r="F310" s="18" t="str">
        <f aca="false">IF(AND(D310="",E310=""),"",'Danh mục'!$F$5+SUM($D$5:D310)-SUM($E$5:E310))</f>
        <v/>
      </c>
      <c r="G310" s="33" t="str">
        <f aca="false">IF(OR(A310="",AND(A310=A309)),"",SUMIFS($D$5:$D$504,$A$5:$A$504,A310))</f>
        <v/>
      </c>
      <c r="H310" s="33" t="str">
        <f aca="false">IF(OR(A310="",AND(A310=A309)),"",SUMIFS($E$5:$E$504,$A$5:$A$504,A310))</f>
        <v/>
      </c>
      <c r="I310" s="29"/>
      <c r="J310" s="34"/>
      <c r="K310" s="35"/>
    </row>
    <row r="311" customFormat="false" ht="15" hidden="false" customHeight="false" outlineLevel="0" collapsed="false">
      <c r="A311" s="32"/>
      <c r="B311" s="29"/>
      <c r="C311" s="29"/>
      <c r="D311" s="25"/>
      <c r="E311" s="25"/>
      <c r="F311" s="18" t="str">
        <f aca="false">IF(AND(D311="",E311=""),"",'Danh mục'!$F$5+SUM($D$5:D311)-SUM($E$5:E311))</f>
        <v/>
      </c>
      <c r="G311" s="33" t="str">
        <f aca="false">IF(OR(A311="",AND(A311=A310)),"",SUMIFS($D$5:$D$504,$A$5:$A$504,A311))</f>
        <v/>
      </c>
      <c r="H311" s="33" t="str">
        <f aca="false">IF(OR(A311="",AND(A311=A310)),"",SUMIFS($E$5:$E$504,$A$5:$A$504,A311))</f>
        <v/>
      </c>
      <c r="I311" s="29"/>
      <c r="J311" s="34"/>
      <c r="K311" s="35"/>
    </row>
    <row r="312" customFormat="false" ht="15" hidden="false" customHeight="false" outlineLevel="0" collapsed="false">
      <c r="A312" s="32"/>
      <c r="B312" s="29"/>
      <c r="C312" s="29"/>
      <c r="D312" s="25"/>
      <c r="E312" s="25"/>
      <c r="F312" s="18" t="str">
        <f aca="false">IF(AND(D312="",E312=""),"",'Danh mục'!$F$5+SUM($D$5:D312)-SUM($E$5:E312))</f>
        <v/>
      </c>
      <c r="G312" s="33" t="str">
        <f aca="false">IF(OR(A312="",AND(A312=A311)),"",SUMIFS($D$5:$D$504,$A$5:$A$504,A312))</f>
        <v/>
      </c>
      <c r="H312" s="33" t="str">
        <f aca="false">IF(OR(A312="",AND(A312=A311)),"",SUMIFS($E$5:$E$504,$A$5:$A$504,A312))</f>
        <v/>
      </c>
      <c r="I312" s="29"/>
      <c r="J312" s="34"/>
      <c r="K312" s="35"/>
    </row>
    <row r="313" customFormat="false" ht="15" hidden="false" customHeight="false" outlineLevel="0" collapsed="false">
      <c r="A313" s="32"/>
      <c r="B313" s="29"/>
      <c r="C313" s="29"/>
      <c r="D313" s="25"/>
      <c r="E313" s="25"/>
      <c r="F313" s="18" t="str">
        <f aca="false">IF(AND(D313="",E313=""),"",'Danh mục'!$F$5+SUM($D$5:D313)-SUM($E$5:E313))</f>
        <v/>
      </c>
      <c r="G313" s="33" t="str">
        <f aca="false">IF(OR(A313="",AND(A313=A312)),"",SUMIFS($D$5:$D$504,$A$5:$A$504,A313))</f>
        <v/>
      </c>
      <c r="H313" s="33" t="str">
        <f aca="false">IF(OR(A313="",AND(A313=A312)),"",SUMIFS($E$5:$E$504,$A$5:$A$504,A313))</f>
        <v/>
      </c>
      <c r="I313" s="29"/>
      <c r="J313" s="34"/>
      <c r="K313" s="35"/>
    </row>
    <row r="314" customFormat="false" ht="15" hidden="false" customHeight="false" outlineLevel="0" collapsed="false">
      <c r="A314" s="32"/>
      <c r="B314" s="29"/>
      <c r="C314" s="29"/>
      <c r="D314" s="25"/>
      <c r="E314" s="25"/>
      <c r="F314" s="18" t="str">
        <f aca="false">IF(AND(D314="",E314=""),"",'Danh mục'!$F$5+SUM($D$5:D314)-SUM($E$5:E314))</f>
        <v/>
      </c>
      <c r="G314" s="33" t="str">
        <f aca="false">IF(OR(A314="",AND(A314=A313)),"",SUMIFS($D$5:$D$504,$A$5:$A$504,A314))</f>
        <v/>
      </c>
      <c r="H314" s="33" t="str">
        <f aca="false">IF(OR(A314="",AND(A314=A313)),"",SUMIFS($E$5:$E$504,$A$5:$A$504,A314))</f>
        <v/>
      </c>
      <c r="I314" s="29"/>
      <c r="J314" s="34"/>
      <c r="K314" s="35"/>
    </row>
    <row r="315" customFormat="false" ht="15" hidden="false" customHeight="false" outlineLevel="0" collapsed="false">
      <c r="A315" s="32"/>
      <c r="B315" s="29"/>
      <c r="C315" s="29"/>
      <c r="D315" s="25"/>
      <c r="E315" s="25"/>
      <c r="F315" s="18" t="str">
        <f aca="false">IF(AND(D315="",E315=""),"",'Danh mục'!$F$5+SUM($D$5:D315)-SUM($E$5:E315))</f>
        <v/>
      </c>
      <c r="G315" s="33" t="str">
        <f aca="false">IF(OR(A315="",AND(A315=A314)),"",SUMIFS($D$5:$D$504,$A$5:$A$504,A315))</f>
        <v/>
      </c>
      <c r="H315" s="33" t="str">
        <f aca="false">IF(OR(A315="",AND(A315=A314)),"",SUMIFS($E$5:$E$504,$A$5:$A$504,A315))</f>
        <v/>
      </c>
      <c r="I315" s="29"/>
      <c r="J315" s="34"/>
      <c r="K315" s="35"/>
    </row>
    <row r="316" customFormat="false" ht="15" hidden="false" customHeight="false" outlineLevel="0" collapsed="false">
      <c r="A316" s="32"/>
      <c r="B316" s="29"/>
      <c r="C316" s="29"/>
      <c r="D316" s="25"/>
      <c r="E316" s="25"/>
      <c r="F316" s="18" t="str">
        <f aca="false">IF(AND(D316="",E316=""),"",'Danh mục'!$F$5+SUM($D$5:D316)-SUM($E$5:E316))</f>
        <v/>
      </c>
      <c r="G316" s="33" t="str">
        <f aca="false">IF(OR(A316="",AND(A316=A315)),"",SUMIFS($D$5:$D$504,$A$5:$A$504,A316))</f>
        <v/>
      </c>
      <c r="H316" s="33" t="str">
        <f aca="false">IF(OR(A316="",AND(A316=A315)),"",SUMIFS($E$5:$E$504,$A$5:$A$504,A316))</f>
        <v/>
      </c>
      <c r="I316" s="29"/>
      <c r="J316" s="34"/>
      <c r="K316" s="35"/>
    </row>
    <row r="317" customFormat="false" ht="15" hidden="false" customHeight="false" outlineLevel="0" collapsed="false">
      <c r="A317" s="32"/>
      <c r="B317" s="29"/>
      <c r="C317" s="29"/>
      <c r="D317" s="25"/>
      <c r="E317" s="25"/>
      <c r="F317" s="18" t="str">
        <f aca="false">IF(AND(D317="",E317=""),"",'Danh mục'!$F$5+SUM($D$5:D317)-SUM($E$5:E317))</f>
        <v/>
      </c>
      <c r="G317" s="33" t="str">
        <f aca="false">IF(OR(A317="",AND(A317=A316)),"",SUMIFS($D$5:$D$504,$A$5:$A$504,A317))</f>
        <v/>
      </c>
      <c r="H317" s="33" t="str">
        <f aca="false">IF(OR(A317="",AND(A317=A316)),"",SUMIFS($E$5:$E$504,$A$5:$A$504,A317))</f>
        <v/>
      </c>
      <c r="I317" s="29"/>
      <c r="J317" s="34"/>
      <c r="K317" s="35"/>
    </row>
    <row r="318" customFormat="false" ht="15" hidden="false" customHeight="false" outlineLevel="0" collapsed="false">
      <c r="A318" s="32"/>
      <c r="B318" s="29"/>
      <c r="C318" s="29"/>
      <c r="D318" s="25"/>
      <c r="E318" s="25"/>
      <c r="F318" s="18" t="str">
        <f aca="false">IF(AND(D318="",E318=""),"",'Danh mục'!$F$5+SUM($D$5:D318)-SUM($E$5:E318))</f>
        <v/>
      </c>
      <c r="G318" s="33" t="str">
        <f aca="false">IF(OR(A318="",AND(A318=A317)),"",SUMIFS($D$5:$D$504,$A$5:$A$504,A318))</f>
        <v/>
      </c>
      <c r="H318" s="33" t="str">
        <f aca="false">IF(OR(A318="",AND(A318=A317)),"",SUMIFS($E$5:$E$504,$A$5:$A$504,A318))</f>
        <v/>
      </c>
      <c r="I318" s="29"/>
      <c r="J318" s="34"/>
      <c r="K318" s="35"/>
    </row>
    <row r="319" customFormat="false" ht="15" hidden="false" customHeight="false" outlineLevel="0" collapsed="false">
      <c r="A319" s="32"/>
      <c r="B319" s="29"/>
      <c r="C319" s="29"/>
      <c r="D319" s="25"/>
      <c r="E319" s="25"/>
      <c r="F319" s="18" t="str">
        <f aca="false">IF(AND(D319="",E319=""),"",'Danh mục'!$F$5+SUM($D$5:D319)-SUM($E$5:E319))</f>
        <v/>
      </c>
      <c r="G319" s="33" t="str">
        <f aca="false">IF(OR(A319="",AND(A319=A318)),"",SUMIFS($D$5:$D$504,$A$5:$A$504,A319))</f>
        <v/>
      </c>
      <c r="H319" s="33" t="str">
        <f aca="false">IF(OR(A319="",AND(A319=A318)),"",SUMIFS($E$5:$E$504,$A$5:$A$504,A319))</f>
        <v/>
      </c>
      <c r="I319" s="29"/>
      <c r="J319" s="34"/>
      <c r="K319" s="35"/>
    </row>
    <row r="320" customFormat="false" ht="15" hidden="false" customHeight="false" outlineLevel="0" collapsed="false">
      <c r="A320" s="32"/>
      <c r="B320" s="29"/>
      <c r="C320" s="29"/>
      <c r="D320" s="25"/>
      <c r="E320" s="25"/>
      <c r="F320" s="18" t="str">
        <f aca="false">IF(AND(D320="",E320=""),"",'Danh mục'!$F$5+SUM($D$5:D320)-SUM($E$5:E320))</f>
        <v/>
      </c>
      <c r="G320" s="33" t="str">
        <f aca="false">IF(OR(A320="",AND(A320=A319)),"",SUMIFS($D$5:$D$504,$A$5:$A$504,A320))</f>
        <v/>
      </c>
      <c r="H320" s="33" t="str">
        <f aca="false">IF(OR(A320="",AND(A320=A319)),"",SUMIFS($E$5:$E$504,$A$5:$A$504,A320))</f>
        <v/>
      </c>
      <c r="I320" s="29"/>
      <c r="J320" s="34"/>
      <c r="K320" s="35"/>
    </row>
    <row r="321" customFormat="false" ht="15" hidden="false" customHeight="false" outlineLevel="0" collapsed="false">
      <c r="A321" s="32"/>
      <c r="B321" s="29"/>
      <c r="C321" s="29"/>
      <c r="D321" s="25"/>
      <c r="E321" s="25"/>
      <c r="F321" s="18" t="str">
        <f aca="false">IF(AND(D321="",E321=""),"",'Danh mục'!$F$5+SUM($D$5:D321)-SUM($E$5:E321))</f>
        <v/>
      </c>
      <c r="G321" s="33" t="str">
        <f aca="false">IF(OR(A321="",AND(A321=A320)),"",SUMIFS($D$5:$D$504,$A$5:$A$504,A321))</f>
        <v/>
      </c>
      <c r="H321" s="33" t="str">
        <f aca="false">IF(OR(A321="",AND(A321=A320)),"",SUMIFS($E$5:$E$504,$A$5:$A$504,A321))</f>
        <v/>
      </c>
      <c r="I321" s="29"/>
      <c r="J321" s="34"/>
      <c r="K321" s="35"/>
    </row>
    <row r="322" customFormat="false" ht="15" hidden="false" customHeight="false" outlineLevel="0" collapsed="false">
      <c r="A322" s="32"/>
      <c r="B322" s="29"/>
      <c r="C322" s="29"/>
      <c r="D322" s="25"/>
      <c r="E322" s="25"/>
      <c r="F322" s="18" t="str">
        <f aca="false">IF(AND(D322="",E322=""),"",'Danh mục'!$F$5+SUM($D$5:D322)-SUM($E$5:E322))</f>
        <v/>
      </c>
      <c r="G322" s="33" t="str">
        <f aca="false">IF(OR(A322="",AND(A322=A321)),"",SUMIFS($D$5:$D$504,$A$5:$A$504,A322))</f>
        <v/>
      </c>
      <c r="H322" s="33" t="str">
        <f aca="false">IF(OR(A322="",AND(A322=A321)),"",SUMIFS($E$5:$E$504,$A$5:$A$504,A322))</f>
        <v/>
      </c>
      <c r="I322" s="29"/>
      <c r="J322" s="34"/>
      <c r="K322" s="35"/>
    </row>
    <row r="323" customFormat="false" ht="15" hidden="false" customHeight="false" outlineLevel="0" collapsed="false">
      <c r="A323" s="32"/>
      <c r="B323" s="29"/>
      <c r="C323" s="29"/>
      <c r="D323" s="25"/>
      <c r="E323" s="25"/>
      <c r="F323" s="18" t="str">
        <f aca="false">IF(AND(D323="",E323=""),"",'Danh mục'!$F$5+SUM($D$5:D323)-SUM($E$5:E323))</f>
        <v/>
      </c>
      <c r="G323" s="33" t="str">
        <f aca="false">IF(OR(A323="",AND(A323=A322)),"",SUMIFS($D$5:$D$504,$A$5:$A$504,A323))</f>
        <v/>
      </c>
      <c r="H323" s="33" t="str">
        <f aca="false">IF(OR(A323="",AND(A323=A322)),"",SUMIFS($E$5:$E$504,$A$5:$A$504,A323))</f>
        <v/>
      </c>
      <c r="I323" s="29"/>
      <c r="J323" s="34"/>
      <c r="K323" s="35"/>
    </row>
    <row r="324" customFormat="false" ht="15" hidden="false" customHeight="false" outlineLevel="0" collapsed="false">
      <c r="A324" s="32"/>
      <c r="B324" s="29"/>
      <c r="C324" s="29"/>
      <c r="D324" s="25"/>
      <c r="E324" s="25"/>
      <c r="F324" s="18" t="str">
        <f aca="false">IF(AND(D324="",E324=""),"",'Danh mục'!$F$5+SUM($D$5:D324)-SUM($E$5:E324))</f>
        <v/>
      </c>
      <c r="G324" s="33" t="str">
        <f aca="false">IF(OR(A324="",AND(A324=A323)),"",SUMIFS($D$5:$D$504,$A$5:$A$504,A324))</f>
        <v/>
      </c>
      <c r="H324" s="33" t="str">
        <f aca="false">IF(OR(A324="",AND(A324=A323)),"",SUMIFS($E$5:$E$504,$A$5:$A$504,A324))</f>
        <v/>
      </c>
      <c r="I324" s="29"/>
      <c r="J324" s="34"/>
      <c r="K324" s="35"/>
    </row>
    <row r="325" customFormat="false" ht="15" hidden="false" customHeight="false" outlineLevel="0" collapsed="false">
      <c r="A325" s="32"/>
      <c r="B325" s="29"/>
      <c r="C325" s="29"/>
      <c r="D325" s="25"/>
      <c r="E325" s="25"/>
      <c r="F325" s="18" t="str">
        <f aca="false">IF(AND(D325="",E325=""),"",'Danh mục'!$F$5+SUM($D$5:D325)-SUM($E$5:E325))</f>
        <v/>
      </c>
      <c r="G325" s="33" t="str">
        <f aca="false">IF(OR(A325="",AND(A325=A324)),"",SUMIFS($D$5:$D$504,$A$5:$A$504,A325))</f>
        <v/>
      </c>
      <c r="H325" s="33" t="str">
        <f aca="false">IF(OR(A325="",AND(A325=A324)),"",SUMIFS($E$5:$E$504,$A$5:$A$504,A325))</f>
        <v/>
      </c>
      <c r="I325" s="29"/>
      <c r="J325" s="34"/>
      <c r="K325" s="35"/>
    </row>
    <row r="326" customFormat="false" ht="15" hidden="false" customHeight="false" outlineLevel="0" collapsed="false">
      <c r="A326" s="32"/>
      <c r="B326" s="29"/>
      <c r="C326" s="29"/>
      <c r="D326" s="25"/>
      <c r="E326" s="25"/>
      <c r="F326" s="18" t="str">
        <f aca="false">IF(AND(D326="",E326=""),"",'Danh mục'!$F$5+SUM($D$5:D326)-SUM($E$5:E326))</f>
        <v/>
      </c>
      <c r="G326" s="33" t="str">
        <f aca="false">IF(OR(A326="",AND(A326=A325)),"",SUMIFS($D$5:$D$504,$A$5:$A$504,A326))</f>
        <v/>
      </c>
      <c r="H326" s="33" t="str">
        <f aca="false">IF(OR(A326="",AND(A326=A325)),"",SUMIFS($E$5:$E$504,$A$5:$A$504,A326))</f>
        <v/>
      </c>
      <c r="I326" s="29"/>
      <c r="J326" s="34"/>
      <c r="K326" s="35"/>
    </row>
    <row r="327" customFormat="false" ht="15" hidden="false" customHeight="false" outlineLevel="0" collapsed="false">
      <c r="A327" s="32"/>
      <c r="B327" s="29"/>
      <c r="C327" s="29"/>
      <c r="D327" s="25"/>
      <c r="E327" s="25"/>
      <c r="F327" s="18" t="str">
        <f aca="false">IF(AND(D327="",E327=""),"",'Danh mục'!$F$5+SUM($D$5:D327)-SUM($E$5:E327))</f>
        <v/>
      </c>
      <c r="G327" s="33" t="str">
        <f aca="false">IF(OR(A327="",AND(A327=A326)),"",SUMIFS($D$5:$D$504,$A$5:$A$504,A327))</f>
        <v/>
      </c>
      <c r="H327" s="33" t="str">
        <f aca="false">IF(OR(A327="",AND(A327=A326)),"",SUMIFS($E$5:$E$504,$A$5:$A$504,A327))</f>
        <v/>
      </c>
      <c r="I327" s="29"/>
      <c r="J327" s="34"/>
      <c r="K327" s="35"/>
    </row>
    <row r="328" customFormat="false" ht="15" hidden="false" customHeight="false" outlineLevel="0" collapsed="false">
      <c r="A328" s="32"/>
      <c r="B328" s="29"/>
      <c r="C328" s="29"/>
      <c r="D328" s="25"/>
      <c r="E328" s="25"/>
      <c r="F328" s="18" t="str">
        <f aca="false">IF(AND(D328="",E328=""),"",'Danh mục'!$F$5+SUM($D$5:D328)-SUM($E$5:E328))</f>
        <v/>
      </c>
      <c r="G328" s="33" t="str">
        <f aca="false">IF(OR(A328="",AND(A328=A327)),"",SUMIFS($D$5:$D$504,$A$5:$A$504,A328))</f>
        <v/>
      </c>
      <c r="H328" s="33" t="str">
        <f aca="false">IF(OR(A328="",AND(A328=A327)),"",SUMIFS($E$5:$E$504,$A$5:$A$504,A328))</f>
        <v/>
      </c>
      <c r="I328" s="29"/>
      <c r="J328" s="34"/>
      <c r="K328" s="35"/>
    </row>
    <row r="329" customFormat="false" ht="15" hidden="false" customHeight="false" outlineLevel="0" collapsed="false">
      <c r="A329" s="32"/>
      <c r="B329" s="29"/>
      <c r="C329" s="29"/>
      <c r="D329" s="25"/>
      <c r="E329" s="25"/>
      <c r="F329" s="18" t="str">
        <f aca="false">IF(AND(D329="",E329=""),"",'Danh mục'!$F$5+SUM($D$5:D329)-SUM($E$5:E329))</f>
        <v/>
      </c>
      <c r="G329" s="33" t="str">
        <f aca="false">IF(OR(A329="",AND(A329=A328)),"",SUMIFS($D$5:$D$504,$A$5:$A$504,A329))</f>
        <v/>
      </c>
      <c r="H329" s="33" t="str">
        <f aca="false">IF(OR(A329="",AND(A329=A328)),"",SUMIFS($E$5:$E$504,$A$5:$A$504,A329))</f>
        <v/>
      </c>
      <c r="I329" s="29"/>
      <c r="J329" s="34"/>
      <c r="K329" s="35"/>
    </row>
    <row r="330" customFormat="false" ht="15" hidden="false" customHeight="false" outlineLevel="0" collapsed="false">
      <c r="A330" s="32"/>
      <c r="B330" s="29"/>
      <c r="C330" s="29"/>
      <c r="D330" s="25"/>
      <c r="E330" s="25"/>
      <c r="F330" s="18" t="str">
        <f aca="false">IF(AND(D330="",E330=""),"",'Danh mục'!$F$5+SUM($D$5:D330)-SUM($E$5:E330))</f>
        <v/>
      </c>
      <c r="G330" s="33" t="str">
        <f aca="false">IF(OR(A330="",AND(A330=A329)),"",SUMIFS($D$5:$D$504,$A$5:$A$504,A330))</f>
        <v/>
      </c>
      <c r="H330" s="33" t="str">
        <f aca="false">IF(OR(A330="",AND(A330=A329)),"",SUMIFS($E$5:$E$504,$A$5:$A$504,A330))</f>
        <v/>
      </c>
      <c r="I330" s="29"/>
      <c r="J330" s="34"/>
      <c r="K330" s="35"/>
    </row>
    <row r="331" customFormat="false" ht="15" hidden="false" customHeight="false" outlineLevel="0" collapsed="false">
      <c r="A331" s="32"/>
      <c r="B331" s="29"/>
      <c r="C331" s="29"/>
      <c r="D331" s="25"/>
      <c r="E331" s="25"/>
      <c r="F331" s="18" t="str">
        <f aca="false">IF(AND(D331="",E331=""),"",'Danh mục'!$F$5+SUM($D$5:D331)-SUM($E$5:E331))</f>
        <v/>
      </c>
      <c r="G331" s="33" t="str">
        <f aca="false">IF(OR(A331="",AND(A331=A330)),"",SUMIFS($D$5:$D$504,$A$5:$A$504,A331))</f>
        <v/>
      </c>
      <c r="H331" s="33" t="str">
        <f aca="false">IF(OR(A331="",AND(A331=A330)),"",SUMIFS($E$5:$E$504,$A$5:$A$504,A331))</f>
        <v/>
      </c>
      <c r="I331" s="29"/>
      <c r="J331" s="34"/>
      <c r="K331" s="35"/>
    </row>
    <row r="332" customFormat="false" ht="15" hidden="false" customHeight="false" outlineLevel="0" collapsed="false">
      <c r="A332" s="32"/>
      <c r="B332" s="29"/>
      <c r="C332" s="29"/>
      <c r="D332" s="25"/>
      <c r="E332" s="25"/>
      <c r="F332" s="18" t="str">
        <f aca="false">IF(AND(D332="",E332=""),"",'Danh mục'!$F$5+SUM($D$5:D332)-SUM($E$5:E332))</f>
        <v/>
      </c>
      <c r="G332" s="33" t="str">
        <f aca="false">IF(OR(A332="",AND(A332=A331)),"",SUMIFS($D$5:$D$504,$A$5:$A$504,A332))</f>
        <v/>
      </c>
      <c r="H332" s="33" t="str">
        <f aca="false">IF(OR(A332="",AND(A332=A331)),"",SUMIFS($E$5:$E$504,$A$5:$A$504,A332))</f>
        <v/>
      </c>
      <c r="I332" s="29"/>
      <c r="J332" s="34"/>
      <c r="K332" s="35"/>
    </row>
    <row r="333" customFormat="false" ht="15" hidden="false" customHeight="false" outlineLevel="0" collapsed="false">
      <c r="A333" s="32"/>
      <c r="B333" s="29"/>
      <c r="C333" s="29"/>
      <c r="D333" s="25"/>
      <c r="E333" s="25"/>
      <c r="F333" s="18" t="str">
        <f aca="false">IF(AND(D333="",E333=""),"",'Danh mục'!$F$5+SUM($D$5:D333)-SUM($E$5:E333))</f>
        <v/>
      </c>
      <c r="G333" s="33" t="str">
        <f aca="false">IF(OR(A333="",AND(A333=A332)),"",SUMIFS($D$5:$D$504,$A$5:$A$504,A333))</f>
        <v/>
      </c>
      <c r="H333" s="33" t="str">
        <f aca="false">IF(OR(A333="",AND(A333=A332)),"",SUMIFS($E$5:$E$504,$A$5:$A$504,A333))</f>
        <v/>
      </c>
      <c r="I333" s="29"/>
      <c r="J333" s="34"/>
      <c r="K333" s="35"/>
    </row>
    <row r="334" customFormat="false" ht="15" hidden="false" customHeight="false" outlineLevel="0" collapsed="false">
      <c r="A334" s="32"/>
      <c r="B334" s="29"/>
      <c r="C334" s="29"/>
      <c r="D334" s="25"/>
      <c r="E334" s="25"/>
      <c r="F334" s="18" t="str">
        <f aca="false">IF(AND(D334="",E334=""),"",'Danh mục'!$F$5+SUM($D$5:D334)-SUM($E$5:E334))</f>
        <v/>
      </c>
      <c r="G334" s="33" t="str">
        <f aca="false">IF(OR(A334="",AND(A334=A333)),"",SUMIFS($D$5:$D$504,$A$5:$A$504,A334))</f>
        <v/>
      </c>
      <c r="H334" s="33" t="str">
        <f aca="false">IF(OR(A334="",AND(A334=A333)),"",SUMIFS($E$5:$E$504,$A$5:$A$504,A334))</f>
        <v/>
      </c>
      <c r="I334" s="29"/>
      <c r="J334" s="34"/>
      <c r="K334" s="35"/>
    </row>
    <row r="335" customFormat="false" ht="15" hidden="false" customHeight="false" outlineLevel="0" collapsed="false">
      <c r="A335" s="32"/>
      <c r="B335" s="29"/>
      <c r="C335" s="29"/>
      <c r="D335" s="25"/>
      <c r="E335" s="25"/>
      <c r="F335" s="18" t="str">
        <f aca="false">IF(AND(D335="",E335=""),"",'Danh mục'!$F$5+SUM($D$5:D335)-SUM($E$5:E335))</f>
        <v/>
      </c>
      <c r="G335" s="33" t="str">
        <f aca="false">IF(OR(A335="",AND(A335=A334)),"",SUMIFS($D$5:$D$504,$A$5:$A$504,A335))</f>
        <v/>
      </c>
      <c r="H335" s="33" t="str">
        <f aca="false">IF(OR(A335="",AND(A335=A334)),"",SUMIFS($E$5:$E$504,$A$5:$A$504,A335))</f>
        <v/>
      </c>
      <c r="I335" s="29"/>
      <c r="J335" s="34"/>
      <c r="K335" s="35"/>
    </row>
    <row r="336" customFormat="false" ht="15" hidden="false" customHeight="false" outlineLevel="0" collapsed="false">
      <c r="A336" s="32"/>
      <c r="B336" s="29"/>
      <c r="C336" s="29"/>
      <c r="D336" s="25"/>
      <c r="E336" s="25"/>
      <c r="F336" s="18" t="str">
        <f aca="false">IF(AND(D336="",E336=""),"",'Danh mục'!$F$5+SUM($D$5:D336)-SUM($E$5:E336))</f>
        <v/>
      </c>
      <c r="G336" s="33" t="str">
        <f aca="false">IF(OR(A336="",AND(A336=A335)),"",SUMIFS($D$5:$D$504,$A$5:$A$504,A336))</f>
        <v/>
      </c>
      <c r="H336" s="33" t="str">
        <f aca="false">IF(OR(A336="",AND(A336=A335)),"",SUMIFS($E$5:$E$504,$A$5:$A$504,A336))</f>
        <v/>
      </c>
      <c r="I336" s="29"/>
      <c r="J336" s="34"/>
      <c r="K336" s="35"/>
    </row>
    <row r="337" customFormat="false" ht="15" hidden="false" customHeight="false" outlineLevel="0" collapsed="false">
      <c r="A337" s="32"/>
      <c r="B337" s="29"/>
      <c r="C337" s="29"/>
      <c r="D337" s="25"/>
      <c r="E337" s="25"/>
      <c r="F337" s="18" t="str">
        <f aca="false">IF(AND(D337="",E337=""),"",'Danh mục'!$F$5+SUM($D$5:D337)-SUM($E$5:E337))</f>
        <v/>
      </c>
      <c r="G337" s="33" t="str">
        <f aca="false">IF(OR(A337="",AND(A337=A336)),"",SUMIFS($D$5:$D$504,$A$5:$A$504,A337))</f>
        <v/>
      </c>
      <c r="H337" s="33" t="str">
        <f aca="false">IF(OR(A337="",AND(A337=A336)),"",SUMIFS($E$5:$E$504,$A$5:$A$504,A337))</f>
        <v/>
      </c>
      <c r="I337" s="29"/>
      <c r="J337" s="34"/>
      <c r="K337" s="35"/>
    </row>
    <row r="338" customFormat="false" ht="15" hidden="false" customHeight="false" outlineLevel="0" collapsed="false">
      <c r="A338" s="32"/>
      <c r="B338" s="29"/>
      <c r="C338" s="29"/>
      <c r="D338" s="25"/>
      <c r="E338" s="25"/>
      <c r="F338" s="18" t="str">
        <f aca="false">IF(AND(D338="",E338=""),"",'Danh mục'!$F$5+SUM($D$5:D338)-SUM($E$5:E338))</f>
        <v/>
      </c>
      <c r="G338" s="33" t="str">
        <f aca="false">IF(OR(A338="",AND(A338=A337)),"",SUMIFS($D$5:$D$504,$A$5:$A$504,A338))</f>
        <v/>
      </c>
      <c r="H338" s="33" t="str">
        <f aca="false">IF(OR(A338="",AND(A338=A337)),"",SUMIFS($E$5:$E$504,$A$5:$A$504,A338))</f>
        <v/>
      </c>
      <c r="I338" s="29"/>
      <c r="J338" s="34"/>
      <c r="K338" s="35"/>
    </row>
    <row r="339" customFormat="false" ht="15" hidden="false" customHeight="false" outlineLevel="0" collapsed="false">
      <c r="A339" s="32"/>
      <c r="B339" s="29"/>
      <c r="C339" s="29"/>
      <c r="D339" s="25"/>
      <c r="E339" s="25"/>
      <c r="F339" s="18" t="str">
        <f aca="false">IF(AND(D339="",E339=""),"",'Danh mục'!$F$5+SUM($D$5:D339)-SUM($E$5:E339))</f>
        <v/>
      </c>
      <c r="G339" s="33" t="str">
        <f aca="false">IF(OR(A339="",AND(A339=A338)),"",SUMIFS($D$5:$D$504,$A$5:$A$504,A339))</f>
        <v/>
      </c>
      <c r="H339" s="33" t="str">
        <f aca="false">IF(OR(A339="",AND(A339=A338)),"",SUMIFS($E$5:$E$504,$A$5:$A$504,A339))</f>
        <v/>
      </c>
      <c r="I339" s="29"/>
      <c r="J339" s="34"/>
      <c r="K339" s="35"/>
    </row>
    <row r="340" customFormat="false" ht="15" hidden="false" customHeight="false" outlineLevel="0" collapsed="false">
      <c r="A340" s="32"/>
      <c r="B340" s="29"/>
      <c r="C340" s="29"/>
      <c r="D340" s="25"/>
      <c r="E340" s="25"/>
      <c r="F340" s="18" t="str">
        <f aca="false">IF(AND(D340="",E340=""),"",'Danh mục'!$F$5+SUM($D$5:D340)-SUM($E$5:E340))</f>
        <v/>
      </c>
      <c r="G340" s="33" t="str">
        <f aca="false">IF(OR(A340="",AND(A340=A339)),"",SUMIFS($D$5:$D$504,$A$5:$A$504,A340))</f>
        <v/>
      </c>
      <c r="H340" s="33" t="str">
        <f aca="false">IF(OR(A340="",AND(A340=A339)),"",SUMIFS($E$5:$E$504,$A$5:$A$504,A340))</f>
        <v/>
      </c>
      <c r="I340" s="29"/>
      <c r="J340" s="34"/>
      <c r="K340" s="35"/>
    </row>
    <row r="341" customFormat="false" ht="15" hidden="false" customHeight="false" outlineLevel="0" collapsed="false">
      <c r="A341" s="32"/>
      <c r="B341" s="29"/>
      <c r="C341" s="29"/>
      <c r="D341" s="25"/>
      <c r="E341" s="25"/>
      <c r="F341" s="18" t="str">
        <f aca="false">IF(AND(D341="",E341=""),"",'Danh mục'!$F$5+SUM($D$5:D341)-SUM($E$5:E341))</f>
        <v/>
      </c>
      <c r="G341" s="33" t="str">
        <f aca="false">IF(OR(A341="",AND(A341=A340)),"",SUMIFS($D$5:$D$504,$A$5:$A$504,A341))</f>
        <v/>
      </c>
      <c r="H341" s="33" t="str">
        <f aca="false">IF(OR(A341="",AND(A341=A340)),"",SUMIFS($E$5:$E$504,$A$5:$A$504,A341))</f>
        <v/>
      </c>
      <c r="I341" s="29"/>
      <c r="J341" s="34"/>
      <c r="K341" s="35"/>
    </row>
    <row r="342" customFormat="false" ht="15" hidden="false" customHeight="false" outlineLevel="0" collapsed="false">
      <c r="A342" s="32"/>
      <c r="B342" s="29"/>
      <c r="C342" s="29"/>
      <c r="D342" s="25"/>
      <c r="E342" s="25"/>
      <c r="F342" s="18" t="str">
        <f aca="false">IF(AND(D342="",E342=""),"",'Danh mục'!$F$5+SUM($D$5:D342)-SUM($E$5:E342))</f>
        <v/>
      </c>
      <c r="G342" s="33" t="str">
        <f aca="false">IF(OR(A342="",AND(A342=A341)),"",SUMIFS($D$5:$D$504,$A$5:$A$504,A342))</f>
        <v/>
      </c>
      <c r="H342" s="33" t="str">
        <f aca="false">IF(OR(A342="",AND(A342=A341)),"",SUMIFS($E$5:$E$504,$A$5:$A$504,A342))</f>
        <v/>
      </c>
      <c r="I342" s="29"/>
      <c r="J342" s="34"/>
      <c r="K342" s="35"/>
    </row>
    <row r="343" customFormat="false" ht="15" hidden="false" customHeight="false" outlineLevel="0" collapsed="false">
      <c r="A343" s="32"/>
      <c r="B343" s="29"/>
      <c r="C343" s="29"/>
      <c r="D343" s="25"/>
      <c r="E343" s="25"/>
      <c r="F343" s="18" t="str">
        <f aca="false">IF(AND(D343="",E343=""),"",'Danh mục'!$F$5+SUM($D$5:D343)-SUM($E$5:E343))</f>
        <v/>
      </c>
      <c r="G343" s="33" t="str">
        <f aca="false">IF(OR(A343="",AND(A343=A342)),"",SUMIFS($D$5:$D$504,$A$5:$A$504,A343))</f>
        <v/>
      </c>
      <c r="H343" s="33" t="str">
        <f aca="false">IF(OR(A343="",AND(A343=A342)),"",SUMIFS($E$5:$E$504,$A$5:$A$504,A343))</f>
        <v/>
      </c>
      <c r="I343" s="29"/>
      <c r="J343" s="34"/>
      <c r="K343" s="35"/>
    </row>
    <row r="344" customFormat="false" ht="15" hidden="false" customHeight="false" outlineLevel="0" collapsed="false">
      <c r="A344" s="32"/>
      <c r="B344" s="29"/>
      <c r="C344" s="29"/>
      <c r="D344" s="25"/>
      <c r="E344" s="25"/>
      <c r="F344" s="18" t="str">
        <f aca="false">IF(AND(D344="",E344=""),"",'Danh mục'!$F$5+SUM($D$5:D344)-SUM($E$5:E344))</f>
        <v/>
      </c>
      <c r="G344" s="33" t="str">
        <f aca="false">IF(OR(A344="",AND(A344=A343)),"",SUMIFS($D$5:$D$504,$A$5:$A$504,A344))</f>
        <v/>
      </c>
      <c r="H344" s="33" t="str">
        <f aca="false">IF(OR(A344="",AND(A344=A343)),"",SUMIFS($E$5:$E$504,$A$5:$A$504,A344))</f>
        <v/>
      </c>
      <c r="I344" s="29"/>
      <c r="J344" s="34"/>
      <c r="K344" s="35"/>
    </row>
    <row r="345" customFormat="false" ht="15" hidden="false" customHeight="false" outlineLevel="0" collapsed="false">
      <c r="A345" s="32"/>
      <c r="B345" s="29"/>
      <c r="C345" s="29"/>
      <c r="D345" s="25"/>
      <c r="E345" s="25"/>
      <c r="F345" s="18" t="str">
        <f aca="false">IF(AND(D345="",E345=""),"",'Danh mục'!$F$5+SUM($D$5:D345)-SUM($E$5:E345))</f>
        <v/>
      </c>
      <c r="G345" s="33" t="str">
        <f aca="false">IF(OR(A345="",AND(A345=A344)),"",SUMIFS($D$5:$D$504,$A$5:$A$504,A345))</f>
        <v/>
      </c>
      <c r="H345" s="33" t="str">
        <f aca="false">IF(OR(A345="",AND(A345=A344)),"",SUMIFS($E$5:$E$504,$A$5:$A$504,A345))</f>
        <v/>
      </c>
      <c r="I345" s="29"/>
      <c r="J345" s="34"/>
      <c r="K345" s="35"/>
    </row>
    <row r="346" customFormat="false" ht="15" hidden="false" customHeight="false" outlineLevel="0" collapsed="false">
      <c r="A346" s="32"/>
      <c r="B346" s="29"/>
      <c r="C346" s="29"/>
      <c r="D346" s="25"/>
      <c r="E346" s="25"/>
      <c r="F346" s="18" t="str">
        <f aca="false">IF(AND(D346="",E346=""),"",'Danh mục'!$F$5+SUM($D$5:D346)-SUM($E$5:E346))</f>
        <v/>
      </c>
      <c r="G346" s="33" t="str">
        <f aca="false">IF(OR(A346="",AND(A346=A345)),"",SUMIFS($D$5:$D$504,$A$5:$A$504,A346))</f>
        <v/>
      </c>
      <c r="H346" s="33" t="str">
        <f aca="false">IF(OR(A346="",AND(A346=A345)),"",SUMIFS($E$5:$E$504,$A$5:$A$504,A346))</f>
        <v/>
      </c>
      <c r="I346" s="29"/>
      <c r="J346" s="34"/>
      <c r="K346" s="35"/>
    </row>
    <row r="347" customFormat="false" ht="15" hidden="false" customHeight="false" outlineLevel="0" collapsed="false">
      <c r="A347" s="32"/>
      <c r="B347" s="29"/>
      <c r="C347" s="29"/>
      <c r="D347" s="25"/>
      <c r="E347" s="25"/>
      <c r="F347" s="18" t="str">
        <f aca="false">IF(AND(D347="",E347=""),"",'Danh mục'!$F$5+SUM($D$5:D347)-SUM($E$5:E347))</f>
        <v/>
      </c>
      <c r="G347" s="33" t="str">
        <f aca="false">IF(OR(A347="",AND(A347=A346)),"",SUMIFS($D$5:$D$504,$A$5:$A$504,A347))</f>
        <v/>
      </c>
      <c r="H347" s="33" t="str">
        <f aca="false">IF(OR(A347="",AND(A347=A346)),"",SUMIFS($E$5:$E$504,$A$5:$A$504,A347))</f>
        <v/>
      </c>
      <c r="I347" s="29"/>
      <c r="J347" s="34"/>
      <c r="K347" s="35"/>
    </row>
    <row r="348" customFormat="false" ht="15" hidden="false" customHeight="false" outlineLevel="0" collapsed="false">
      <c r="A348" s="32"/>
      <c r="B348" s="29"/>
      <c r="C348" s="29"/>
      <c r="D348" s="25"/>
      <c r="E348" s="25"/>
      <c r="F348" s="18" t="str">
        <f aca="false">IF(AND(D348="",E348=""),"",'Danh mục'!$F$5+SUM($D$5:D348)-SUM($E$5:E348))</f>
        <v/>
      </c>
      <c r="G348" s="33" t="str">
        <f aca="false">IF(OR(A348="",AND(A348=A347)),"",SUMIFS($D$5:$D$504,$A$5:$A$504,A348))</f>
        <v/>
      </c>
      <c r="H348" s="33" t="str">
        <f aca="false">IF(OR(A348="",AND(A348=A347)),"",SUMIFS($E$5:$E$504,$A$5:$A$504,A348))</f>
        <v/>
      </c>
      <c r="I348" s="29"/>
      <c r="J348" s="34"/>
      <c r="K348" s="35"/>
    </row>
    <row r="349" customFormat="false" ht="15" hidden="false" customHeight="false" outlineLevel="0" collapsed="false">
      <c r="A349" s="32"/>
      <c r="B349" s="29"/>
      <c r="C349" s="29"/>
      <c r="D349" s="25"/>
      <c r="E349" s="25"/>
      <c r="F349" s="18" t="str">
        <f aca="false">IF(AND(D349="",E349=""),"",'Danh mục'!$F$5+SUM($D$5:D349)-SUM($E$5:E349))</f>
        <v/>
      </c>
      <c r="G349" s="33" t="str">
        <f aca="false">IF(OR(A349="",AND(A349=A348)),"",SUMIFS($D$5:$D$504,$A$5:$A$504,A349))</f>
        <v/>
      </c>
      <c r="H349" s="33" t="str">
        <f aca="false">IF(OR(A349="",AND(A349=A348)),"",SUMIFS($E$5:$E$504,$A$5:$A$504,A349))</f>
        <v/>
      </c>
      <c r="I349" s="29"/>
      <c r="J349" s="34"/>
      <c r="K349" s="35"/>
    </row>
    <row r="350" customFormat="false" ht="15" hidden="false" customHeight="false" outlineLevel="0" collapsed="false">
      <c r="A350" s="32"/>
      <c r="B350" s="29"/>
      <c r="C350" s="29"/>
      <c r="D350" s="25"/>
      <c r="E350" s="25"/>
      <c r="F350" s="18" t="str">
        <f aca="false">IF(AND(D350="",E350=""),"",'Danh mục'!$F$5+SUM($D$5:D350)-SUM($E$5:E350))</f>
        <v/>
      </c>
      <c r="G350" s="33" t="str">
        <f aca="false">IF(OR(A350="",AND(A350=A349)),"",SUMIFS($D$5:$D$504,$A$5:$A$504,A350))</f>
        <v/>
      </c>
      <c r="H350" s="33" t="str">
        <f aca="false">IF(OR(A350="",AND(A350=A349)),"",SUMIFS($E$5:$E$504,$A$5:$A$504,A350))</f>
        <v/>
      </c>
      <c r="I350" s="29"/>
      <c r="J350" s="34"/>
      <c r="K350" s="35"/>
    </row>
    <row r="351" customFormat="false" ht="15" hidden="false" customHeight="false" outlineLevel="0" collapsed="false">
      <c r="A351" s="32"/>
      <c r="B351" s="29"/>
      <c r="C351" s="29"/>
      <c r="D351" s="25"/>
      <c r="E351" s="25"/>
      <c r="F351" s="18" t="str">
        <f aca="false">IF(AND(D351="",E351=""),"",'Danh mục'!$F$5+SUM($D$5:D351)-SUM($E$5:E351))</f>
        <v/>
      </c>
      <c r="G351" s="33" t="str">
        <f aca="false">IF(OR(A351="",AND(A351=A350)),"",SUMIFS($D$5:$D$504,$A$5:$A$504,A351))</f>
        <v/>
      </c>
      <c r="H351" s="33" t="str">
        <f aca="false">IF(OR(A351="",AND(A351=A350)),"",SUMIFS($E$5:$E$504,$A$5:$A$504,A351))</f>
        <v/>
      </c>
      <c r="I351" s="29"/>
      <c r="J351" s="34"/>
      <c r="K351" s="35"/>
    </row>
    <row r="352" customFormat="false" ht="15" hidden="false" customHeight="false" outlineLevel="0" collapsed="false">
      <c r="A352" s="32"/>
      <c r="B352" s="29"/>
      <c r="C352" s="29"/>
      <c r="D352" s="25"/>
      <c r="E352" s="25"/>
      <c r="F352" s="18" t="str">
        <f aca="false">IF(AND(D352="",E352=""),"",'Danh mục'!$F$5+SUM($D$5:D352)-SUM($E$5:E352))</f>
        <v/>
      </c>
      <c r="G352" s="33" t="str">
        <f aca="false">IF(OR(A352="",AND(A352=A351)),"",SUMIFS($D$5:$D$504,$A$5:$A$504,A352))</f>
        <v/>
      </c>
      <c r="H352" s="33" t="str">
        <f aca="false">IF(OR(A352="",AND(A352=A351)),"",SUMIFS($E$5:$E$504,$A$5:$A$504,A352))</f>
        <v/>
      </c>
      <c r="I352" s="29"/>
      <c r="J352" s="34"/>
      <c r="K352" s="35"/>
    </row>
    <row r="353" customFormat="false" ht="15" hidden="false" customHeight="false" outlineLevel="0" collapsed="false">
      <c r="A353" s="32"/>
      <c r="B353" s="29"/>
      <c r="C353" s="29"/>
      <c r="D353" s="25"/>
      <c r="E353" s="25"/>
      <c r="F353" s="18" t="str">
        <f aca="false">IF(AND(D353="",E353=""),"",'Danh mục'!$F$5+SUM($D$5:D353)-SUM($E$5:E353))</f>
        <v/>
      </c>
      <c r="G353" s="33" t="str">
        <f aca="false">IF(OR(A353="",AND(A353=A352)),"",SUMIFS($D$5:$D$504,$A$5:$A$504,A353))</f>
        <v/>
      </c>
      <c r="H353" s="33" t="str">
        <f aca="false">IF(OR(A353="",AND(A353=A352)),"",SUMIFS($E$5:$E$504,$A$5:$A$504,A353))</f>
        <v/>
      </c>
      <c r="I353" s="29"/>
      <c r="J353" s="34"/>
      <c r="K353" s="35"/>
    </row>
    <row r="354" customFormat="false" ht="15" hidden="false" customHeight="false" outlineLevel="0" collapsed="false">
      <c r="A354" s="32"/>
      <c r="B354" s="29"/>
      <c r="C354" s="29"/>
      <c r="D354" s="25"/>
      <c r="E354" s="25"/>
      <c r="F354" s="18" t="str">
        <f aca="false">IF(AND(D354="",E354=""),"",'Danh mục'!$F$5+SUM($D$5:D354)-SUM($E$5:E354))</f>
        <v/>
      </c>
      <c r="G354" s="33" t="str">
        <f aca="false">IF(OR(A354="",AND(A354=A353)),"",SUMIFS($D$5:$D$504,$A$5:$A$504,A354))</f>
        <v/>
      </c>
      <c r="H354" s="33" t="str">
        <f aca="false">IF(OR(A354="",AND(A354=A353)),"",SUMIFS($E$5:$E$504,$A$5:$A$504,A354))</f>
        <v/>
      </c>
      <c r="I354" s="29"/>
      <c r="J354" s="34"/>
      <c r="K354" s="35"/>
    </row>
    <row r="355" customFormat="false" ht="15" hidden="false" customHeight="false" outlineLevel="0" collapsed="false">
      <c r="A355" s="32"/>
      <c r="B355" s="29"/>
      <c r="C355" s="29"/>
      <c r="D355" s="25"/>
      <c r="E355" s="25"/>
      <c r="F355" s="18" t="str">
        <f aca="false">IF(AND(D355="",E355=""),"",'Danh mục'!$F$5+SUM($D$5:D355)-SUM($E$5:E355))</f>
        <v/>
      </c>
      <c r="G355" s="33" t="str">
        <f aca="false">IF(OR(A355="",AND(A355=A354)),"",SUMIFS($D$5:$D$504,$A$5:$A$504,A355))</f>
        <v/>
      </c>
      <c r="H355" s="33" t="str">
        <f aca="false">IF(OR(A355="",AND(A355=A354)),"",SUMIFS($E$5:$E$504,$A$5:$A$504,A355))</f>
        <v/>
      </c>
      <c r="I355" s="29"/>
      <c r="J355" s="34"/>
      <c r="K355" s="35"/>
    </row>
    <row r="356" customFormat="false" ht="15" hidden="false" customHeight="false" outlineLevel="0" collapsed="false">
      <c r="A356" s="32"/>
      <c r="B356" s="29"/>
      <c r="C356" s="29"/>
      <c r="D356" s="25"/>
      <c r="E356" s="25"/>
      <c r="F356" s="18" t="str">
        <f aca="false">IF(AND(D356="",E356=""),"",'Danh mục'!$F$5+SUM($D$5:D356)-SUM($E$5:E356))</f>
        <v/>
      </c>
      <c r="G356" s="33" t="str">
        <f aca="false">IF(OR(A356="",AND(A356=A355)),"",SUMIFS($D$5:$D$504,$A$5:$A$504,A356))</f>
        <v/>
      </c>
      <c r="H356" s="33" t="str">
        <f aca="false">IF(OR(A356="",AND(A356=A355)),"",SUMIFS($E$5:$E$504,$A$5:$A$504,A356))</f>
        <v/>
      </c>
      <c r="I356" s="29"/>
      <c r="J356" s="34"/>
      <c r="K356" s="35"/>
    </row>
    <row r="357" customFormat="false" ht="15" hidden="false" customHeight="false" outlineLevel="0" collapsed="false">
      <c r="A357" s="32"/>
      <c r="B357" s="29"/>
      <c r="C357" s="29"/>
      <c r="D357" s="25"/>
      <c r="E357" s="25"/>
      <c r="F357" s="18" t="str">
        <f aca="false">IF(AND(D357="",E357=""),"",'Danh mục'!$F$5+SUM($D$5:D357)-SUM($E$5:E357))</f>
        <v/>
      </c>
      <c r="G357" s="33" t="str">
        <f aca="false">IF(OR(A357="",AND(A357=A356)),"",SUMIFS($D$5:$D$504,$A$5:$A$504,A357))</f>
        <v/>
      </c>
      <c r="H357" s="33" t="str">
        <f aca="false">IF(OR(A357="",AND(A357=A356)),"",SUMIFS($E$5:$E$504,$A$5:$A$504,A357))</f>
        <v/>
      </c>
      <c r="I357" s="29"/>
      <c r="J357" s="34"/>
      <c r="K357" s="35"/>
    </row>
    <row r="358" customFormat="false" ht="15" hidden="false" customHeight="false" outlineLevel="0" collapsed="false">
      <c r="A358" s="32"/>
      <c r="B358" s="29"/>
      <c r="C358" s="29"/>
      <c r="D358" s="25"/>
      <c r="E358" s="25"/>
      <c r="F358" s="18" t="str">
        <f aca="false">IF(AND(D358="",E358=""),"",'Danh mục'!$F$5+SUM($D$5:D358)-SUM($E$5:E358))</f>
        <v/>
      </c>
      <c r="G358" s="33" t="str">
        <f aca="false">IF(OR(A358="",AND(A358=A357)),"",SUMIFS($D$5:$D$504,$A$5:$A$504,A358))</f>
        <v/>
      </c>
      <c r="H358" s="33" t="str">
        <f aca="false">IF(OR(A358="",AND(A358=A357)),"",SUMIFS($E$5:$E$504,$A$5:$A$504,A358))</f>
        <v/>
      </c>
      <c r="I358" s="29"/>
      <c r="J358" s="34"/>
      <c r="K358" s="35"/>
    </row>
    <row r="359" customFormat="false" ht="15" hidden="false" customHeight="false" outlineLevel="0" collapsed="false">
      <c r="A359" s="32"/>
      <c r="B359" s="29"/>
      <c r="C359" s="29"/>
      <c r="D359" s="25"/>
      <c r="E359" s="25"/>
      <c r="F359" s="18" t="str">
        <f aca="false">IF(AND(D359="",E359=""),"",'Danh mục'!$F$5+SUM($D$5:D359)-SUM($E$5:E359))</f>
        <v/>
      </c>
      <c r="G359" s="33" t="str">
        <f aca="false">IF(OR(A359="",AND(A359=A358)),"",SUMIFS($D$5:$D$504,$A$5:$A$504,A359))</f>
        <v/>
      </c>
      <c r="H359" s="33" t="str">
        <f aca="false">IF(OR(A359="",AND(A359=A358)),"",SUMIFS($E$5:$E$504,$A$5:$A$504,A359))</f>
        <v/>
      </c>
      <c r="I359" s="29"/>
      <c r="J359" s="34"/>
      <c r="K359" s="35"/>
    </row>
    <row r="360" customFormat="false" ht="15" hidden="false" customHeight="false" outlineLevel="0" collapsed="false">
      <c r="A360" s="32"/>
      <c r="B360" s="29"/>
      <c r="C360" s="29"/>
      <c r="D360" s="25"/>
      <c r="E360" s="25"/>
      <c r="F360" s="18" t="str">
        <f aca="false">IF(AND(D360="",E360=""),"",'Danh mục'!$F$5+SUM($D$5:D360)-SUM($E$5:E360))</f>
        <v/>
      </c>
      <c r="G360" s="33" t="str">
        <f aca="false">IF(OR(A360="",AND(A360=A359)),"",SUMIFS($D$5:$D$504,$A$5:$A$504,A360))</f>
        <v/>
      </c>
      <c r="H360" s="33" t="str">
        <f aca="false">IF(OR(A360="",AND(A360=A359)),"",SUMIFS($E$5:$E$504,$A$5:$A$504,A360))</f>
        <v/>
      </c>
      <c r="I360" s="29"/>
      <c r="J360" s="34"/>
      <c r="K360" s="35"/>
    </row>
    <row r="361" customFormat="false" ht="15" hidden="false" customHeight="false" outlineLevel="0" collapsed="false">
      <c r="A361" s="32"/>
      <c r="B361" s="29"/>
      <c r="C361" s="29"/>
      <c r="D361" s="25"/>
      <c r="E361" s="25"/>
      <c r="F361" s="18" t="str">
        <f aca="false">IF(AND(D361="",E361=""),"",'Danh mục'!$F$5+SUM($D$5:D361)-SUM($E$5:E361))</f>
        <v/>
      </c>
      <c r="G361" s="33" t="str">
        <f aca="false">IF(OR(A361="",AND(A361=A360)),"",SUMIFS($D$5:$D$504,$A$5:$A$504,A361))</f>
        <v/>
      </c>
      <c r="H361" s="33" t="str">
        <f aca="false">IF(OR(A361="",AND(A361=A360)),"",SUMIFS($E$5:$E$504,$A$5:$A$504,A361))</f>
        <v/>
      </c>
      <c r="I361" s="29"/>
      <c r="J361" s="34"/>
      <c r="K361" s="35"/>
    </row>
    <row r="362" customFormat="false" ht="15" hidden="false" customHeight="false" outlineLevel="0" collapsed="false">
      <c r="A362" s="32"/>
      <c r="B362" s="29"/>
      <c r="C362" s="29"/>
      <c r="D362" s="25"/>
      <c r="E362" s="25"/>
      <c r="F362" s="18" t="str">
        <f aca="false">IF(AND(D362="",E362=""),"",'Danh mục'!$F$5+SUM($D$5:D362)-SUM($E$5:E362))</f>
        <v/>
      </c>
      <c r="G362" s="33" t="str">
        <f aca="false">IF(OR(A362="",AND(A362=A361)),"",SUMIFS($D$5:$D$504,$A$5:$A$504,A362))</f>
        <v/>
      </c>
      <c r="H362" s="33" t="str">
        <f aca="false">IF(OR(A362="",AND(A362=A361)),"",SUMIFS($E$5:$E$504,$A$5:$A$504,A362))</f>
        <v/>
      </c>
      <c r="I362" s="29"/>
      <c r="J362" s="34"/>
      <c r="K362" s="35"/>
    </row>
    <row r="363" customFormat="false" ht="15" hidden="false" customHeight="false" outlineLevel="0" collapsed="false">
      <c r="A363" s="32"/>
      <c r="B363" s="29"/>
      <c r="C363" s="29"/>
      <c r="D363" s="25"/>
      <c r="E363" s="25"/>
      <c r="F363" s="18" t="str">
        <f aca="false">IF(AND(D363="",E363=""),"",'Danh mục'!$F$5+SUM($D$5:D363)-SUM($E$5:E363))</f>
        <v/>
      </c>
      <c r="G363" s="33" t="str">
        <f aca="false">IF(OR(A363="",AND(A363=A362)),"",SUMIFS($D$5:$D$504,$A$5:$A$504,A363))</f>
        <v/>
      </c>
      <c r="H363" s="33" t="str">
        <f aca="false">IF(OR(A363="",AND(A363=A362)),"",SUMIFS($E$5:$E$504,$A$5:$A$504,A363))</f>
        <v/>
      </c>
      <c r="I363" s="29"/>
      <c r="J363" s="34"/>
      <c r="K363" s="35"/>
    </row>
    <row r="364" customFormat="false" ht="15" hidden="false" customHeight="false" outlineLevel="0" collapsed="false">
      <c r="A364" s="32"/>
      <c r="B364" s="29"/>
      <c r="C364" s="29"/>
      <c r="D364" s="25"/>
      <c r="E364" s="25"/>
      <c r="F364" s="18" t="str">
        <f aca="false">IF(AND(D364="",E364=""),"",'Danh mục'!$F$5+SUM($D$5:D364)-SUM($E$5:E364))</f>
        <v/>
      </c>
      <c r="G364" s="33" t="str">
        <f aca="false">IF(OR(A364="",AND(A364=A363)),"",SUMIFS($D$5:$D$504,$A$5:$A$504,A364))</f>
        <v/>
      </c>
      <c r="H364" s="33" t="str">
        <f aca="false">IF(OR(A364="",AND(A364=A363)),"",SUMIFS($E$5:$E$504,$A$5:$A$504,A364))</f>
        <v/>
      </c>
      <c r="I364" s="29"/>
      <c r="J364" s="34"/>
      <c r="K364" s="35"/>
    </row>
    <row r="365" customFormat="false" ht="15" hidden="false" customHeight="false" outlineLevel="0" collapsed="false">
      <c r="A365" s="32"/>
      <c r="B365" s="29"/>
      <c r="C365" s="29"/>
      <c r="D365" s="25"/>
      <c r="E365" s="25"/>
      <c r="F365" s="18" t="str">
        <f aca="false">IF(AND(D365="",E365=""),"",'Danh mục'!$F$5+SUM($D$5:D365)-SUM($E$5:E365))</f>
        <v/>
      </c>
      <c r="G365" s="33" t="str">
        <f aca="false">IF(OR(A365="",AND(A365=A364)),"",SUMIFS($D$5:$D$504,$A$5:$A$504,A365))</f>
        <v/>
      </c>
      <c r="H365" s="33" t="str">
        <f aca="false">IF(OR(A365="",AND(A365=A364)),"",SUMIFS($E$5:$E$504,$A$5:$A$504,A365))</f>
        <v/>
      </c>
      <c r="I365" s="29"/>
      <c r="J365" s="34"/>
      <c r="K365" s="35"/>
    </row>
    <row r="366" customFormat="false" ht="15" hidden="false" customHeight="false" outlineLevel="0" collapsed="false">
      <c r="A366" s="32"/>
      <c r="B366" s="29"/>
      <c r="C366" s="29"/>
      <c r="D366" s="25"/>
      <c r="E366" s="25"/>
      <c r="F366" s="18" t="str">
        <f aca="false">IF(AND(D366="",E366=""),"",'Danh mục'!$F$5+SUM($D$5:D366)-SUM($E$5:E366))</f>
        <v/>
      </c>
      <c r="G366" s="33" t="str">
        <f aca="false">IF(OR(A366="",AND(A366=A365)),"",SUMIFS($D$5:$D$504,$A$5:$A$504,A366))</f>
        <v/>
      </c>
      <c r="H366" s="33" t="str">
        <f aca="false">IF(OR(A366="",AND(A366=A365)),"",SUMIFS($E$5:$E$504,$A$5:$A$504,A366))</f>
        <v/>
      </c>
      <c r="I366" s="29"/>
      <c r="J366" s="34"/>
      <c r="K366" s="35"/>
    </row>
    <row r="367" customFormat="false" ht="15" hidden="false" customHeight="false" outlineLevel="0" collapsed="false">
      <c r="A367" s="32"/>
      <c r="B367" s="29"/>
      <c r="C367" s="29"/>
      <c r="D367" s="25"/>
      <c r="E367" s="25"/>
      <c r="F367" s="18" t="str">
        <f aca="false">IF(AND(D367="",E367=""),"",'Danh mục'!$F$5+SUM($D$5:D367)-SUM($E$5:E367))</f>
        <v/>
      </c>
      <c r="G367" s="33" t="str">
        <f aca="false">IF(OR(A367="",AND(A367=A366)),"",SUMIFS($D$5:$D$504,$A$5:$A$504,A367))</f>
        <v/>
      </c>
      <c r="H367" s="33" t="str">
        <f aca="false">IF(OR(A367="",AND(A367=A366)),"",SUMIFS($E$5:$E$504,$A$5:$A$504,A367))</f>
        <v/>
      </c>
      <c r="I367" s="29"/>
      <c r="J367" s="34"/>
      <c r="K367" s="35"/>
    </row>
    <row r="368" customFormat="false" ht="15" hidden="false" customHeight="false" outlineLevel="0" collapsed="false">
      <c r="A368" s="32"/>
      <c r="B368" s="29"/>
      <c r="C368" s="29"/>
      <c r="D368" s="25"/>
      <c r="E368" s="25"/>
      <c r="F368" s="18" t="str">
        <f aca="false">IF(AND(D368="",E368=""),"",'Danh mục'!$F$5+SUM($D$5:D368)-SUM($E$5:E368))</f>
        <v/>
      </c>
      <c r="G368" s="33" t="str">
        <f aca="false">IF(OR(A368="",AND(A368=A367)),"",SUMIFS($D$5:$D$504,$A$5:$A$504,A368))</f>
        <v/>
      </c>
      <c r="H368" s="33" t="str">
        <f aca="false">IF(OR(A368="",AND(A368=A367)),"",SUMIFS($E$5:$E$504,$A$5:$A$504,A368))</f>
        <v/>
      </c>
      <c r="I368" s="29"/>
      <c r="J368" s="34"/>
      <c r="K368" s="35"/>
    </row>
    <row r="369" customFormat="false" ht="15" hidden="false" customHeight="false" outlineLevel="0" collapsed="false">
      <c r="A369" s="32"/>
      <c r="B369" s="29"/>
      <c r="C369" s="29"/>
      <c r="D369" s="25"/>
      <c r="E369" s="25"/>
      <c r="F369" s="18" t="str">
        <f aca="false">IF(AND(D369="",E369=""),"",'Danh mục'!$F$5+SUM($D$5:D369)-SUM($E$5:E369))</f>
        <v/>
      </c>
      <c r="G369" s="33" t="str">
        <f aca="false">IF(OR(A369="",AND(A369=A368)),"",SUMIFS($D$5:$D$504,$A$5:$A$504,A369))</f>
        <v/>
      </c>
      <c r="H369" s="33" t="str">
        <f aca="false">IF(OR(A369="",AND(A369=A368)),"",SUMIFS($E$5:$E$504,$A$5:$A$504,A369))</f>
        <v/>
      </c>
      <c r="I369" s="29"/>
      <c r="J369" s="34"/>
      <c r="K369" s="35"/>
    </row>
    <row r="370" customFormat="false" ht="15" hidden="false" customHeight="false" outlineLevel="0" collapsed="false">
      <c r="A370" s="32"/>
      <c r="B370" s="29"/>
      <c r="C370" s="29"/>
      <c r="D370" s="25"/>
      <c r="E370" s="25"/>
      <c r="F370" s="18" t="str">
        <f aca="false">IF(AND(D370="",E370=""),"",'Danh mục'!$F$5+SUM($D$5:D370)-SUM($E$5:E370))</f>
        <v/>
      </c>
      <c r="G370" s="33" t="str">
        <f aca="false">IF(OR(A370="",AND(A370=A369)),"",SUMIFS($D$5:$D$504,$A$5:$A$504,A370))</f>
        <v/>
      </c>
      <c r="H370" s="33" t="str">
        <f aca="false">IF(OR(A370="",AND(A370=A369)),"",SUMIFS($E$5:$E$504,$A$5:$A$504,A370))</f>
        <v/>
      </c>
      <c r="I370" s="29"/>
      <c r="J370" s="34"/>
      <c r="K370" s="35"/>
    </row>
    <row r="371" customFormat="false" ht="15" hidden="false" customHeight="false" outlineLevel="0" collapsed="false">
      <c r="A371" s="32"/>
      <c r="B371" s="29"/>
      <c r="C371" s="29"/>
      <c r="D371" s="25"/>
      <c r="E371" s="25"/>
      <c r="F371" s="18" t="str">
        <f aca="false">IF(AND(D371="",E371=""),"",'Danh mục'!$F$5+SUM($D$5:D371)-SUM($E$5:E371))</f>
        <v/>
      </c>
      <c r="G371" s="33" t="str">
        <f aca="false">IF(OR(A371="",AND(A371=A370)),"",SUMIFS($D$5:$D$504,$A$5:$A$504,A371))</f>
        <v/>
      </c>
      <c r="H371" s="33" t="str">
        <f aca="false">IF(OR(A371="",AND(A371=A370)),"",SUMIFS($E$5:$E$504,$A$5:$A$504,A371))</f>
        <v/>
      </c>
      <c r="I371" s="29"/>
      <c r="J371" s="34"/>
      <c r="K371" s="35"/>
    </row>
    <row r="372" customFormat="false" ht="15" hidden="false" customHeight="false" outlineLevel="0" collapsed="false">
      <c r="A372" s="32"/>
      <c r="B372" s="29"/>
      <c r="C372" s="29"/>
      <c r="D372" s="25"/>
      <c r="E372" s="25"/>
      <c r="F372" s="18" t="str">
        <f aca="false">IF(AND(D372="",E372=""),"",'Danh mục'!$F$5+SUM($D$5:D372)-SUM($E$5:E372))</f>
        <v/>
      </c>
      <c r="G372" s="33" t="str">
        <f aca="false">IF(OR(A372="",AND(A372=A371)),"",SUMIFS($D$5:$D$504,$A$5:$A$504,A372))</f>
        <v/>
      </c>
      <c r="H372" s="33" t="str">
        <f aca="false">IF(OR(A372="",AND(A372=A371)),"",SUMIFS($E$5:$E$504,$A$5:$A$504,A372))</f>
        <v/>
      </c>
      <c r="I372" s="29"/>
      <c r="J372" s="34"/>
      <c r="K372" s="35"/>
    </row>
    <row r="373" customFormat="false" ht="15" hidden="false" customHeight="false" outlineLevel="0" collapsed="false">
      <c r="A373" s="32"/>
      <c r="B373" s="29"/>
      <c r="C373" s="29"/>
      <c r="D373" s="25"/>
      <c r="E373" s="25"/>
      <c r="F373" s="18" t="str">
        <f aca="false">IF(AND(D373="",E373=""),"",'Danh mục'!$F$5+SUM($D$5:D373)-SUM($E$5:E373))</f>
        <v/>
      </c>
      <c r="G373" s="33" t="str">
        <f aca="false">IF(OR(A373="",AND(A373=A372)),"",SUMIFS($D$5:$D$504,$A$5:$A$504,A373))</f>
        <v/>
      </c>
      <c r="H373" s="33" t="str">
        <f aca="false">IF(OR(A373="",AND(A373=A372)),"",SUMIFS($E$5:$E$504,$A$5:$A$504,A373))</f>
        <v/>
      </c>
      <c r="I373" s="29"/>
      <c r="J373" s="34"/>
      <c r="K373" s="35"/>
    </row>
    <row r="374" customFormat="false" ht="15" hidden="false" customHeight="false" outlineLevel="0" collapsed="false">
      <c r="A374" s="32"/>
      <c r="B374" s="29"/>
      <c r="C374" s="29"/>
      <c r="D374" s="25"/>
      <c r="E374" s="25"/>
      <c r="F374" s="18" t="str">
        <f aca="false">IF(AND(D374="",E374=""),"",'Danh mục'!$F$5+SUM($D$5:D374)-SUM($E$5:E374))</f>
        <v/>
      </c>
      <c r="G374" s="33" t="str">
        <f aca="false">IF(OR(A374="",AND(A374=A373)),"",SUMIFS($D$5:$D$504,$A$5:$A$504,A374))</f>
        <v/>
      </c>
      <c r="H374" s="33" t="str">
        <f aca="false">IF(OR(A374="",AND(A374=A373)),"",SUMIFS($E$5:$E$504,$A$5:$A$504,A374))</f>
        <v/>
      </c>
      <c r="I374" s="29"/>
      <c r="J374" s="34"/>
      <c r="K374" s="35"/>
    </row>
    <row r="375" customFormat="false" ht="15" hidden="false" customHeight="false" outlineLevel="0" collapsed="false">
      <c r="A375" s="32"/>
      <c r="B375" s="29"/>
      <c r="C375" s="29"/>
      <c r="D375" s="25"/>
      <c r="E375" s="25"/>
      <c r="F375" s="18" t="str">
        <f aca="false">IF(AND(D375="",E375=""),"",'Danh mục'!$F$5+SUM($D$5:D375)-SUM($E$5:E375))</f>
        <v/>
      </c>
      <c r="G375" s="33" t="str">
        <f aca="false">IF(OR(A375="",AND(A375=A374)),"",SUMIFS($D$5:$D$504,$A$5:$A$504,A375))</f>
        <v/>
      </c>
      <c r="H375" s="33" t="str">
        <f aca="false">IF(OR(A375="",AND(A375=A374)),"",SUMIFS($E$5:$E$504,$A$5:$A$504,A375))</f>
        <v/>
      </c>
      <c r="I375" s="29"/>
      <c r="J375" s="34"/>
      <c r="K375" s="35"/>
    </row>
    <row r="376" customFormat="false" ht="15" hidden="false" customHeight="false" outlineLevel="0" collapsed="false">
      <c r="A376" s="32"/>
      <c r="B376" s="29"/>
      <c r="C376" s="29"/>
      <c r="D376" s="25"/>
      <c r="E376" s="25"/>
      <c r="F376" s="18" t="str">
        <f aca="false">IF(AND(D376="",E376=""),"",'Danh mục'!$F$5+SUM($D$5:D376)-SUM($E$5:E376))</f>
        <v/>
      </c>
      <c r="G376" s="33" t="str">
        <f aca="false">IF(OR(A376="",AND(A376=A375)),"",SUMIFS($D$5:$D$504,$A$5:$A$504,A376))</f>
        <v/>
      </c>
      <c r="H376" s="33" t="str">
        <f aca="false">IF(OR(A376="",AND(A376=A375)),"",SUMIFS($E$5:$E$504,$A$5:$A$504,A376))</f>
        <v/>
      </c>
      <c r="I376" s="29"/>
      <c r="J376" s="34"/>
      <c r="K376" s="35"/>
    </row>
    <row r="377" customFormat="false" ht="15" hidden="false" customHeight="false" outlineLevel="0" collapsed="false">
      <c r="A377" s="32"/>
      <c r="B377" s="29"/>
      <c r="C377" s="29"/>
      <c r="D377" s="25"/>
      <c r="E377" s="25"/>
      <c r="F377" s="18" t="str">
        <f aca="false">IF(AND(D377="",E377=""),"",'Danh mục'!$F$5+SUM($D$5:D377)-SUM($E$5:E377))</f>
        <v/>
      </c>
      <c r="G377" s="33" t="str">
        <f aca="false">IF(OR(A377="",AND(A377=A376)),"",SUMIFS($D$5:$D$504,$A$5:$A$504,A377))</f>
        <v/>
      </c>
      <c r="H377" s="33" t="str">
        <f aca="false">IF(OR(A377="",AND(A377=A376)),"",SUMIFS($E$5:$E$504,$A$5:$A$504,A377))</f>
        <v/>
      </c>
      <c r="I377" s="29"/>
      <c r="J377" s="34"/>
      <c r="K377" s="35"/>
    </row>
    <row r="378" customFormat="false" ht="15" hidden="false" customHeight="false" outlineLevel="0" collapsed="false">
      <c r="A378" s="32"/>
      <c r="B378" s="29"/>
      <c r="C378" s="29"/>
      <c r="D378" s="25"/>
      <c r="E378" s="25"/>
      <c r="F378" s="18" t="str">
        <f aca="false">IF(AND(D378="",E378=""),"",'Danh mục'!$F$5+SUM($D$5:D378)-SUM($E$5:E378))</f>
        <v/>
      </c>
      <c r="G378" s="33" t="str">
        <f aca="false">IF(OR(A378="",AND(A378=A377)),"",SUMIFS($D$5:$D$504,$A$5:$A$504,A378))</f>
        <v/>
      </c>
      <c r="H378" s="33" t="str">
        <f aca="false">IF(OR(A378="",AND(A378=A377)),"",SUMIFS($E$5:$E$504,$A$5:$A$504,A378))</f>
        <v/>
      </c>
      <c r="I378" s="29"/>
      <c r="J378" s="34"/>
      <c r="K378" s="35"/>
    </row>
    <row r="379" customFormat="false" ht="15" hidden="false" customHeight="false" outlineLevel="0" collapsed="false">
      <c r="A379" s="32"/>
      <c r="B379" s="29"/>
      <c r="C379" s="29"/>
      <c r="D379" s="25"/>
      <c r="E379" s="25"/>
      <c r="F379" s="18" t="str">
        <f aca="false">IF(AND(D379="",E379=""),"",'Danh mục'!$F$5+SUM($D$5:D379)-SUM($E$5:E379))</f>
        <v/>
      </c>
      <c r="G379" s="33" t="str">
        <f aca="false">IF(OR(A379="",AND(A379=A378)),"",SUMIFS($D$5:$D$504,$A$5:$A$504,A379))</f>
        <v/>
      </c>
      <c r="H379" s="33" t="str">
        <f aca="false">IF(OR(A379="",AND(A379=A378)),"",SUMIFS($E$5:$E$504,$A$5:$A$504,A379))</f>
        <v/>
      </c>
      <c r="I379" s="29"/>
      <c r="J379" s="34"/>
      <c r="K379" s="35"/>
    </row>
    <row r="380" customFormat="false" ht="15" hidden="false" customHeight="false" outlineLevel="0" collapsed="false">
      <c r="A380" s="32"/>
      <c r="B380" s="29"/>
      <c r="C380" s="29"/>
      <c r="D380" s="25"/>
      <c r="E380" s="25"/>
      <c r="F380" s="18" t="str">
        <f aca="false">IF(AND(D380="",E380=""),"",'Danh mục'!$F$5+SUM($D$5:D380)-SUM($E$5:E380))</f>
        <v/>
      </c>
      <c r="G380" s="33" t="str">
        <f aca="false">IF(OR(A380="",AND(A380=A379)),"",SUMIFS($D$5:$D$504,$A$5:$A$504,A380))</f>
        <v/>
      </c>
      <c r="H380" s="33" t="str">
        <f aca="false">IF(OR(A380="",AND(A380=A379)),"",SUMIFS($E$5:$E$504,$A$5:$A$504,A380))</f>
        <v/>
      </c>
      <c r="I380" s="29"/>
      <c r="J380" s="34"/>
      <c r="K380" s="35"/>
    </row>
    <row r="381" customFormat="false" ht="15" hidden="false" customHeight="false" outlineLevel="0" collapsed="false">
      <c r="A381" s="32"/>
      <c r="B381" s="29"/>
      <c r="C381" s="29"/>
      <c r="D381" s="25"/>
      <c r="E381" s="25"/>
      <c r="F381" s="18" t="str">
        <f aca="false">IF(AND(D381="",E381=""),"",'Danh mục'!$F$5+SUM($D$5:D381)-SUM($E$5:E381))</f>
        <v/>
      </c>
      <c r="G381" s="33" t="str">
        <f aca="false">IF(OR(A381="",AND(A381=A380)),"",SUMIFS($D$5:$D$504,$A$5:$A$504,A381))</f>
        <v/>
      </c>
      <c r="H381" s="33" t="str">
        <f aca="false">IF(OR(A381="",AND(A381=A380)),"",SUMIFS($E$5:$E$504,$A$5:$A$504,A381))</f>
        <v/>
      </c>
      <c r="I381" s="29"/>
      <c r="J381" s="34"/>
      <c r="K381" s="35"/>
    </row>
    <row r="382" customFormat="false" ht="15" hidden="false" customHeight="false" outlineLevel="0" collapsed="false">
      <c r="A382" s="32"/>
      <c r="B382" s="29"/>
      <c r="C382" s="29"/>
      <c r="D382" s="25"/>
      <c r="E382" s="25"/>
      <c r="F382" s="18" t="str">
        <f aca="false">IF(AND(D382="",E382=""),"",'Danh mục'!$F$5+SUM($D$5:D382)-SUM($E$5:E382))</f>
        <v/>
      </c>
      <c r="G382" s="33" t="str">
        <f aca="false">IF(OR(A382="",AND(A382=A381)),"",SUMIFS($D$5:$D$504,$A$5:$A$504,A382))</f>
        <v/>
      </c>
      <c r="H382" s="33" t="str">
        <f aca="false">IF(OR(A382="",AND(A382=A381)),"",SUMIFS($E$5:$E$504,$A$5:$A$504,A382))</f>
        <v/>
      </c>
      <c r="I382" s="29"/>
      <c r="J382" s="34"/>
      <c r="K382" s="35"/>
    </row>
    <row r="383" customFormat="false" ht="15" hidden="false" customHeight="false" outlineLevel="0" collapsed="false">
      <c r="A383" s="32"/>
      <c r="B383" s="29"/>
      <c r="C383" s="29"/>
      <c r="D383" s="25"/>
      <c r="E383" s="25"/>
      <c r="F383" s="18" t="str">
        <f aca="false">IF(AND(D383="",E383=""),"",'Danh mục'!$F$5+SUM($D$5:D383)-SUM($E$5:E383))</f>
        <v/>
      </c>
      <c r="G383" s="33" t="str">
        <f aca="false">IF(OR(A383="",AND(A383=A382)),"",SUMIFS($D$5:$D$504,$A$5:$A$504,A383))</f>
        <v/>
      </c>
      <c r="H383" s="33" t="str">
        <f aca="false">IF(OR(A383="",AND(A383=A382)),"",SUMIFS($E$5:$E$504,$A$5:$A$504,A383))</f>
        <v/>
      </c>
      <c r="I383" s="29"/>
      <c r="J383" s="34"/>
      <c r="K383" s="35"/>
    </row>
    <row r="384" customFormat="false" ht="15" hidden="false" customHeight="false" outlineLevel="0" collapsed="false">
      <c r="A384" s="32"/>
      <c r="B384" s="29"/>
      <c r="C384" s="29"/>
      <c r="D384" s="25"/>
      <c r="E384" s="25"/>
      <c r="F384" s="18" t="str">
        <f aca="false">IF(AND(D384="",E384=""),"",'Danh mục'!$F$5+SUM($D$5:D384)-SUM($E$5:E384))</f>
        <v/>
      </c>
      <c r="G384" s="33" t="str">
        <f aca="false">IF(OR(A384="",AND(A384=A383)),"",SUMIFS($D$5:$D$504,$A$5:$A$504,A384))</f>
        <v/>
      </c>
      <c r="H384" s="33" t="str">
        <f aca="false">IF(OR(A384="",AND(A384=A383)),"",SUMIFS($E$5:$E$504,$A$5:$A$504,A384))</f>
        <v/>
      </c>
      <c r="I384" s="29"/>
      <c r="J384" s="34"/>
      <c r="K384" s="35"/>
    </row>
    <row r="385" customFormat="false" ht="15" hidden="false" customHeight="false" outlineLevel="0" collapsed="false">
      <c r="A385" s="32"/>
      <c r="B385" s="29"/>
      <c r="C385" s="29"/>
      <c r="D385" s="25"/>
      <c r="E385" s="25"/>
      <c r="F385" s="18" t="str">
        <f aca="false">IF(AND(D385="",E385=""),"",'Danh mục'!$F$5+SUM($D$5:D385)-SUM($E$5:E385))</f>
        <v/>
      </c>
      <c r="G385" s="33" t="str">
        <f aca="false">IF(OR(A385="",AND(A385=A384)),"",SUMIFS($D$5:$D$504,$A$5:$A$504,A385))</f>
        <v/>
      </c>
      <c r="H385" s="33" t="str">
        <f aca="false">IF(OR(A385="",AND(A385=A384)),"",SUMIFS($E$5:$E$504,$A$5:$A$504,A385))</f>
        <v/>
      </c>
      <c r="I385" s="29"/>
      <c r="J385" s="34"/>
      <c r="K385" s="35"/>
    </row>
    <row r="386" customFormat="false" ht="15" hidden="false" customHeight="false" outlineLevel="0" collapsed="false">
      <c r="A386" s="32"/>
      <c r="B386" s="29"/>
      <c r="C386" s="29"/>
      <c r="D386" s="25"/>
      <c r="E386" s="25"/>
      <c r="F386" s="18" t="str">
        <f aca="false">IF(AND(D386="",E386=""),"",'Danh mục'!$F$5+SUM($D$5:D386)-SUM($E$5:E386))</f>
        <v/>
      </c>
      <c r="G386" s="33" t="str">
        <f aca="false">IF(OR(A386="",AND(A386=A385)),"",SUMIFS($D$5:$D$504,$A$5:$A$504,A386))</f>
        <v/>
      </c>
      <c r="H386" s="33" t="str">
        <f aca="false">IF(OR(A386="",AND(A386=A385)),"",SUMIFS($E$5:$E$504,$A$5:$A$504,A386))</f>
        <v/>
      </c>
      <c r="I386" s="29"/>
      <c r="J386" s="34"/>
      <c r="K386" s="35"/>
    </row>
    <row r="387" customFormat="false" ht="15" hidden="false" customHeight="false" outlineLevel="0" collapsed="false">
      <c r="A387" s="32"/>
      <c r="B387" s="29"/>
      <c r="C387" s="29"/>
      <c r="D387" s="25"/>
      <c r="E387" s="25"/>
      <c r="F387" s="18" t="str">
        <f aca="false">IF(AND(D387="",E387=""),"",'Danh mục'!$F$5+SUM($D$5:D387)-SUM($E$5:E387))</f>
        <v/>
      </c>
      <c r="G387" s="33" t="str">
        <f aca="false">IF(OR(A387="",AND(A387=A386)),"",SUMIFS($D$5:$D$504,$A$5:$A$504,A387))</f>
        <v/>
      </c>
      <c r="H387" s="33" t="str">
        <f aca="false">IF(OR(A387="",AND(A387=A386)),"",SUMIFS($E$5:$E$504,$A$5:$A$504,A387))</f>
        <v/>
      </c>
      <c r="I387" s="29"/>
      <c r="J387" s="34"/>
      <c r="K387" s="35"/>
    </row>
    <row r="388" customFormat="false" ht="15" hidden="false" customHeight="false" outlineLevel="0" collapsed="false">
      <c r="A388" s="32"/>
      <c r="B388" s="29"/>
      <c r="C388" s="29"/>
      <c r="D388" s="25"/>
      <c r="E388" s="25"/>
      <c r="F388" s="18" t="str">
        <f aca="false">IF(AND(D388="",E388=""),"",'Danh mục'!$F$5+SUM($D$5:D388)-SUM($E$5:E388))</f>
        <v/>
      </c>
      <c r="G388" s="33" t="str">
        <f aca="false">IF(OR(A388="",AND(A388=A387)),"",SUMIFS($D$5:$D$504,$A$5:$A$504,A388))</f>
        <v/>
      </c>
      <c r="H388" s="33" t="str">
        <f aca="false">IF(OR(A388="",AND(A388=A387)),"",SUMIFS($E$5:$E$504,$A$5:$A$504,A388))</f>
        <v/>
      </c>
      <c r="I388" s="29"/>
      <c r="J388" s="34"/>
      <c r="K388" s="35"/>
    </row>
    <row r="389" customFormat="false" ht="15" hidden="false" customHeight="false" outlineLevel="0" collapsed="false">
      <c r="A389" s="32"/>
      <c r="B389" s="29"/>
      <c r="C389" s="29"/>
      <c r="D389" s="25"/>
      <c r="E389" s="25"/>
      <c r="F389" s="18" t="str">
        <f aca="false">IF(AND(D389="",E389=""),"",'Danh mục'!$F$5+SUM($D$5:D389)-SUM($E$5:E389))</f>
        <v/>
      </c>
      <c r="G389" s="33" t="str">
        <f aca="false">IF(OR(A389="",AND(A389=A388)),"",SUMIFS($D$5:$D$504,$A$5:$A$504,A389))</f>
        <v/>
      </c>
      <c r="H389" s="33" t="str">
        <f aca="false">IF(OR(A389="",AND(A389=A388)),"",SUMIFS($E$5:$E$504,$A$5:$A$504,A389))</f>
        <v/>
      </c>
      <c r="I389" s="29"/>
      <c r="J389" s="34"/>
      <c r="K389" s="35"/>
    </row>
    <row r="390" customFormat="false" ht="15" hidden="false" customHeight="false" outlineLevel="0" collapsed="false">
      <c r="A390" s="32"/>
      <c r="B390" s="29"/>
      <c r="C390" s="29"/>
      <c r="D390" s="25"/>
      <c r="E390" s="25"/>
      <c r="F390" s="18" t="str">
        <f aca="false">IF(AND(D390="",E390=""),"",'Danh mục'!$F$5+SUM($D$5:D390)-SUM($E$5:E390))</f>
        <v/>
      </c>
      <c r="G390" s="33" t="str">
        <f aca="false">IF(OR(A390="",AND(A390=A389)),"",SUMIFS($D$5:$D$504,$A$5:$A$504,A390))</f>
        <v/>
      </c>
      <c r="H390" s="33" t="str">
        <f aca="false">IF(OR(A390="",AND(A390=A389)),"",SUMIFS($E$5:$E$504,$A$5:$A$504,A390))</f>
        <v/>
      </c>
      <c r="I390" s="29"/>
      <c r="J390" s="34"/>
      <c r="K390" s="35"/>
    </row>
    <row r="391" customFormat="false" ht="15" hidden="false" customHeight="false" outlineLevel="0" collapsed="false">
      <c r="A391" s="32"/>
      <c r="B391" s="29"/>
      <c r="C391" s="29"/>
      <c r="D391" s="25"/>
      <c r="E391" s="25"/>
      <c r="F391" s="18" t="str">
        <f aca="false">IF(AND(D391="",E391=""),"",'Danh mục'!$F$5+SUM($D$5:D391)-SUM($E$5:E391))</f>
        <v/>
      </c>
      <c r="G391" s="33" t="str">
        <f aca="false">IF(OR(A391="",AND(A391=A390)),"",SUMIFS($D$5:$D$504,$A$5:$A$504,A391))</f>
        <v/>
      </c>
      <c r="H391" s="33" t="str">
        <f aca="false">IF(OR(A391="",AND(A391=A390)),"",SUMIFS($E$5:$E$504,$A$5:$A$504,A391))</f>
        <v/>
      </c>
      <c r="I391" s="29"/>
      <c r="J391" s="34"/>
      <c r="K391" s="35"/>
    </row>
    <row r="392" customFormat="false" ht="15" hidden="false" customHeight="false" outlineLevel="0" collapsed="false">
      <c r="A392" s="32"/>
      <c r="B392" s="29"/>
      <c r="C392" s="29"/>
      <c r="D392" s="25"/>
      <c r="E392" s="25"/>
      <c r="F392" s="18" t="str">
        <f aca="false">IF(AND(D392="",E392=""),"",'Danh mục'!$F$5+SUM($D$5:D392)-SUM($E$5:E392))</f>
        <v/>
      </c>
      <c r="G392" s="33" t="str">
        <f aca="false">IF(OR(A392="",AND(A392=A391)),"",SUMIFS($D$5:$D$504,$A$5:$A$504,A392))</f>
        <v/>
      </c>
      <c r="H392" s="33" t="str">
        <f aca="false">IF(OR(A392="",AND(A392=A391)),"",SUMIFS($E$5:$E$504,$A$5:$A$504,A392))</f>
        <v/>
      </c>
      <c r="I392" s="29"/>
      <c r="J392" s="34"/>
      <c r="K392" s="35"/>
    </row>
    <row r="393" customFormat="false" ht="15" hidden="false" customHeight="false" outlineLevel="0" collapsed="false">
      <c r="A393" s="32"/>
      <c r="B393" s="29"/>
      <c r="C393" s="29"/>
      <c r="D393" s="25"/>
      <c r="E393" s="25"/>
      <c r="F393" s="18" t="str">
        <f aca="false">IF(AND(D393="",E393=""),"",'Danh mục'!$F$5+SUM($D$5:D393)-SUM($E$5:E393))</f>
        <v/>
      </c>
      <c r="G393" s="33" t="str">
        <f aca="false">IF(OR(A393="",AND(A393=A392)),"",SUMIFS($D$5:$D$504,$A$5:$A$504,A393))</f>
        <v/>
      </c>
      <c r="H393" s="33" t="str">
        <f aca="false">IF(OR(A393="",AND(A393=A392)),"",SUMIFS($E$5:$E$504,$A$5:$A$504,A393))</f>
        <v/>
      </c>
      <c r="I393" s="29"/>
      <c r="J393" s="34"/>
      <c r="K393" s="35"/>
    </row>
    <row r="394" customFormat="false" ht="15" hidden="false" customHeight="false" outlineLevel="0" collapsed="false">
      <c r="A394" s="32"/>
      <c r="B394" s="29"/>
      <c r="C394" s="29"/>
      <c r="D394" s="25"/>
      <c r="E394" s="25"/>
      <c r="F394" s="18" t="str">
        <f aca="false">IF(AND(D394="",E394=""),"",'Danh mục'!$F$5+SUM($D$5:D394)-SUM($E$5:E394))</f>
        <v/>
      </c>
      <c r="G394" s="33" t="str">
        <f aca="false">IF(OR(A394="",AND(A394=A393)),"",SUMIFS($D$5:$D$504,$A$5:$A$504,A394))</f>
        <v/>
      </c>
      <c r="H394" s="33" t="str">
        <f aca="false">IF(OR(A394="",AND(A394=A393)),"",SUMIFS($E$5:$E$504,$A$5:$A$504,A394))</f>
        <v/>
      </c>
      <c r="I394" s="29"/>
      <c r="J394" s="34"/>
      <c r="K394" s="35"/>
    </row>
    <row r="395" customFormat="false" ht="15" hidden="false" customHeight="false" outlineLevel="0" collapsed="false">
      <c r="A395" s="32"/>
      <c r="B395" s="29"/>
      <c r="C395" s="29"/>
      <c r="D395" s="25"/>
      <c r="E395" s="25"/>
      <c r="F395" s="18" t="str">
        <f aca="false">IF(AND(D395="",E395=""),"",'Danh mục'!$F$5+SUM($D$5:D395)-SUM($E$5:E395))</f>
        <v/>
      </c>
      <c r="G395" s="33" t="str">
        <f aca="false">IF(OR(A395="",AND(A395=A394)),"",SUMIFS($D$5:$D$504,$A$5:$A$504,A395))</f>
        <v/>
      </c>
      <c r="H395" s="33" t="str">
        <f aca="false">IF(OR(A395="",AND(A395=A394)),"",SUMIFS($E$5:$E$504,$A$5:$A$504,A395))</f>
        <v/>
      </c>
      <c r="I395" s="29"/>
      <c r="J395" s="34"/>
      <c r="K395" s="35"/>
    </row>
    <row r="396" customFormat="false" ht="15" hidden="false" customHeight="false" outlineLevel="0" collapsed="false">
      <c r="A396" s="32"/>
      <c r="B396" s="29"/>
      <c r="C396" s="29"/>
      <c r="D396" s="25"/>
      <c r="E396" s="25"/>
      <c r="F396" s="18" t="str">
        <f aca="false">IF(AND(D396="",E396=""),"",'Danh mục'!$F$5+SUM($D$5:D396)-SUM($E$5:E396))</f>
        <v/>
      </c>
      <c r="G396" s="33" t="str">
        <f aca="false">IF(OR(A396="",AND(A396=A395)),"",SUMIFS($D$5:$D$504,$A$5:$A$504,A396))</f>
        <v/>
      </c>
      <c r="H396" s="33" t="str">
        <f aca="false">IF(OR(A396="",AND(A396=A395)),"",SUMIFS($E$5:$E$504,$A$5:$A$504,A396))</f>
        <v/>
      </c>
      <c r="I396" s="29"/>
      <c r="J396" s="34"/>
      <c r="K396" s="35"/>
    </row>
    <row r="397" customFormat="false" ht="15" hidden="false" customHeight="false" outlineLevel="0" collapsed="false">
      <c r="A397" s="32"/>
      <c r="B397" s="29"/>
      <c r="C397" s="29"/>
      <c r="D397" s="25"/>
      <c r="E397" s="25"/>
      <c r="F397" s="18" t="str">
        <f aca="false">IF(AND(D397="",E397=""),"",'Danh mục'!$F$5+SUM($D$5:D397)-SUM($E$5:E397))</f>
        <v/>
      </c>
      <c r="G397" s="33" t="str">
        <f aca="false">IF(OR(A397="",AND(A397=A396)),"",SUMIFS($D$5:$D$504,$A$5:$A$504,A397))</f>
        <v/>
      </c>
      <c r="H397" s="33" t="str">
        <f aca="false">IF(OR(A397="",AND(A397=A396)),"",SUMIFS($E$5:$E$504,$A$5:$A$504,A397))</f>
        <v/>
      </c>
      <c r="I397" s="29"/>
      <c r="J397" s="34"/>
      <c r="K397" s="35"/>
    </row>
    <row r="398" customFormat="false" ht="15" hidden="false" customHeight="false" outlineLevel="0" collapsed="false">
      <c r="A398" s="32"/>
      <c r="B398" s="29"/>
      <c r="C398" s="29"/>
      <c r="D398" s="25"/>
      <c r="E398" s="25"/>
      <c r="F398" s="18" t="str">
        <f aca="false">IF(AND(D398="",E398=""),"",'Danh mục'!$F$5+SUM($D$5:D398)-SUM($E$5:E398))</f>
        <v/>
      </c>
      <c r="G398" s="33" t="str">
        <f aca="false">IF(OR(A398="",AND(A398=A397)),"",SUMIFS($D$5:$D$504,$A$5:$A$504,A398))</f>
        <v/>
      </c>
      <c r="H398" s="33" t="str">
        <f aca="false">IF(OR(A398="",AND(A398=A397)),"",SUMIFS($E$5:$E$504,$A$5:$A$504,A398))</f>
        <v/>
      </c>
      <c r="I398" s="29"/>
      <c r="J398" s="34"/>
      <c r="K398" s="35"/>
    </row>
    <row r="399" customFormat="false" ht="15" hidden="false" customHeight="false" outlineLevel="0" collapsed="false">
      <c r="A399" s="32"/>
      <c r="B399" s="29"/>
      <c r="C399" s="29"/>
      <c r="D399" s="25"/>
      <c r="E399" s="25"/>
      <c r="F399" s="18" t="str">
        <f aca="false">IF(AND(D399="",E399=""),"",'Danh mục'!$F$5+SUM($D$5:D399)-SUM($E$5:E399))</f>
        <v/>
      </c>
      <c r="G399" s="33" t="str">
        <f aca="false">IF(OR(A399="",AND(A399=A398)),"",SUMIFS($D$5:$D$504,$A$5:$A$504,A399))</f>
        <v/>
      </c>
      <c r="H399" s="33" t="str">
        <f aca="false">IF(OR(A399="",AND(A399=A398)),"",SUMIFS($E$5:$E$504,$A$5:$A$504,A399))</f>
        <v/>
      </c>
      <c r="I399" s="29"/>
      <c r="J399" s="34"/>
      <c r="K399" s="35"/>
    </row>
    <row r="400" customFormat="false" ht="15" hidden="false" customHeight="false" outlineLevel="0" collapsed="false">
      <c r="A400" s="32"/>
      <c r="B400" s="29"/>
      <c r="C400" s="29"/>
      <c r="D400" s="25"/>
      <c r="E400" s="25"/>
      <c r="F400" s="18" t="str">
        <f aca="false">IF(AND(D400="",E400=""),"",'Danh mục'!$F$5+SUM($D$5:D400)-SUM($E$5:E400))</f>
        <v/>
      </c>
      <c r="G400" s="33" t="str">
        <f aca="false">IF(OR(A400="",AND(A400=A399)),"",SUMIFS($D$5:$D$504,$A$5:$A$504,A400))</f>
        <v/>
      </c>
      <c r="H400" s="33" t="str">
        <f aca="false">IF(OR(A400="",AND(A400=A399)),"",SUMIFS($E$5:$E$504,$A$5:$A$504,A400))</f>
        <v/>
      </c>
      <c r="I400" s="29"/>
      <c r="J400" s="34"/>
      <c r="K400" s="35"/>
    </row>
    <row r="401" customFormat="false" ht="15" hidden="false" customHeight="false" outlineLevel="0" collapsed="false">
      <c r="A401" s="32"/>
      <c r="B401" s="29"/>
      <c r="C401" s="29"/>
      <c r="D401" s="25"/>
      <c r="E401" s="25"/>
      <c r="F401" s="18" t="str">
        <f aca="false">IF(AND(D401="",E401=""),"",'Danh mục'!$F$5+SUM($D$5:D401)-SUM($E$5:E401))</f>
        <v/>
      </c>
      <c r="G401" s="33" t="str">
        <f aca="false">IF(OR(A401="",AND(A401=A400)),"",SUMIFS($D$5:$D$504,$A$5:$A$504,A401))</f>
        <v/>
      </c>
      <c r="H401" s="33" t="str">
        <f aca="false">IF(OR(A401="",AND(A401=A400)),"",SUMIFS($E$5:$E$504,$A$5:$A$504,A401))</f>
        <v/>
      </c>
      <c r="I401" s="29"/>
      <c r="J401" s="34"/>
      <c r="K401" s="35"/>
    </row>
    <row r="402" customFormat="false" ht="15" hidden="false" customHeight="false" outlineLevel="0" collapsed="false">
      <c r="A402" s="32"/>
      <c r="B402" s="29"/>
      <c r="C402" s="29"/>
      <c r="D402" s="25"/>
      <c r="E402" s="25"/>
      <c r="F402" s="18" t="str">
        <f aca="false">IF(AND(D402="",E402=""),"",'Danh mục'!$F$5+SUM($D$5:D402)-SUM($E$5:E402))</f>
        <v/>
      </c>
      <c r="G402" s="33" t="str">
        <f aca="false">IF(OR(A402="",AND(A402=A401)),"",SUMIFS($D$5:$D$504,$A$5:$A$504,A402))</f>
        <v/>
      </c>
      <c r="H402" s="33" t="str">
        <f aca="false">IF(OR(A402="",AND(A402=A401)),"",SUMIFS($E$5:$E$504,$A$5:$A$504,A402))</f>
        <v/>
      </c>
      <c r="I402" s="29"/>
      <c r="J402" s="34"/>
      <c r="K402" s="35"/>
    </row>
    <row r="403" customFormat="false" ht="15" hidden="false" customHeight="false" outlineLevel="0" collapsed="false">
      <c r="A403" s="32"/>
      <c r="B403" s="29"/>
      <c r="C403" s="29"/>
      <c r="D403" s="25"/>
      <c r="E403" s="25"/>
      <c r="F403" s="18" t="str">
        <f aca="false">IF(AND(D403="",E403=""),"",'Danh mục'!$F$5+SUM($D$5:D403)-SUM($E$5:E403))</f>
        <v/>
      </c>
      <c r="G403" s="33" t="str">
        <f aca="false">IF(OR(A403="",AND(A403=A402)),"",SUMIFS($D$5:$D$504,$A$5:$A$504,A403))</f>
        <v/>
      </c>
      <c r="H403" s="33" t="str">
        <f aca="false">IF(OR(A403="",AND(A403=A402)),"",SUMIFS($E$5:$E$504,$A$5:$A$504,A403))</f>
        <v/>
      </c>
      <c r="I403" s="29"/>
      <c r="J403" s="34"/>
      <c r="K403" s="35"/>
    </row>
    <row r="404" customFormat="false" ht="15" hidden="false" customHeight="false" outlineLevel="0" collapsed="false">
      <c r="A404" s="32"/>
      <c r="B404" s="29"/>
      <c r="C404" s="29"/>
      <c r="D404" s="25"/>
      <c r="E404" s="25"/>
      <c r="F404" s="18" t="str">
        <f aca="false">IF(AND(D404="",E404=""),"",'Danh mục'!$F$5+SUM($D$5:D404)-SUM($E$5:E404))</f>
        <v/>
      </c>
      <c r="G404" s="33" t="str">
        <f aca="false">IF(OR(A404="",AND(A404=A403)),"",SUMIFS($D$5:$D$504,$A$5:$A$504,A404))</f>
        <v/>
      </c>
      <c r="H404" s="33" t="str">
        <f aca="false">IF(OR(A404="",AND(A404=A403)),"",SUMIFS($E$5:$E$504,$A$5:$A$504,A404))</f>
        <v/>
      </c>
      <c r="I404" s="29"/>
      <c r="J404" s="34"/>
      <c r="K404" s="35"/>
    </row>
    <row r="405" customFormat="false" ht="15" hidden="false" customHeight="false" outlineLevel="0" collapsed="false">
      <c r="A405" s="32"/>
      <c r="B405" s="29"/>
      <c r="C405" s="29"/>
      <c r="D405" s="25"/>
      <c r="E405" s="25"/>
      <c r="F405" s="18" t="str">
        <f aca="false">IF(AND(D405="",E405=""),"",'Danh mục'!$F$5+SUM($D$5:D405)-SUM($E$5:E405))</f>
        <v/>
      </c>
      <c r="G405" s="33" t="str">
        <f aca="false">IF(OR(A405="",AND(A405=A404)),"",SUMIFS($D$5:$D$504,$A$5:$A$504,A405))</f>
        <v/>
      </c>
      <c r="H405" s="33" t="str">
        <f aca="false">IF(OR(A405="",AND(A405=A404)),"",SUMIFS($E$5:$E$504,$A$5:$A$504,A405))</f>
        <v/>
      </c>
      <c r="I405" s="29"/>
      <c r="J405" s="34"/>
      <c r="K405" s="35"/>
    </row>
    <row r="406" customFormat="false" ht="15" hidden="false" customHeight="false" outlineLevel="0" collapsed="false">
      <c r="A406" s="32"/>
      <c r="B406" s="29"/>
      <c r="C406" s="29"/>
      <c r="D406" s="25"/>
      <c r="E406" s="25"/>
      <c r="F406" s="18" t="str">
        <f aca="false">IF(AND(D406="",E406=""),"",'Danh mục'!$F$5+SUM($D$5:D406)-SUM($E$5:E406))</f>
        <v/>
      </c>
      <c r="G406" s="33" t="str">
        <f aca="false">IF(OR(A406="",AND(A406=A405)),"",SUMIFS($D$5:$D$504,$A$5:$A$504,A406))</f>
        <v/>
      </c>
      <c r="H406" s="33" t="str">
        <f aca="false">IF(OR(A406="",AND(A406=A405)),"",SUMIFS($E$5:$E$504,$A$5:$A$504,A406))</f>
        <v/>
      </c>
      <c r="I406" s="29"/>
      <c r="J406" s="34"/>
      <c r="K406" s="35"/>
    </row>
    <row r="407" customFormat="false" ht="15" hidden="false" customHeight="false" outlineLevel="0" collapsed="false">
      <c r="A407" s="32"/>
      <c r="B407" s="29"/>
      <c r="C407" s="29"/>
      <c r="D407" s="25"/>
      <c r="E407" s="25"/>
      <c r="F407" s="18" t="str">
        <f aca="false">IF(AND(D407="",E407=""),"",'Danh mục'!$F$5+SUM($D$5:D407)-SUM($E$5:E407))</f>
        <v/>
      </c>
      <c r="G407" s="33" t="str">
        <f aca="false">IF(OR(A407="",AND(A407=A406)),"",SUMIFS($D$5:$D$504,$A$5:$A$504,A407))</f>
        <v/>
      </c>
      <c r="H407" s="33" t="str">
        <f aca="false">IF(OR(A407="",AND(A407=A406)),"",SUMIFS($E$5:$E$504,$A$5:$A$504,A407))</f>
        <v/>
      </c>
      <c r="I407" s="29"/>
      <c r="J407" s="34"/>
      <c r="K407" s="35"/>
    </row>
    <row r="408" customFormat="false" ht="15" hidden="false" customHeight="false" outlineLevel="0" collapsed="false">
      <c r="A408" s="32"/>
      <c r="B408" s="29"/>
      <c r="C408" s="29"/>
      <c r="D408" s="25"/>
      <c r="E408" s="25"/>
      <c r="F408" s="18" t="str">
        <f aca="false">IF(AND(D408="",E408=""),"",'Danh mục'!$F$5+SUM($D$5:D408)-SUM($E$5:E408))</f>
        <v/>
      </c>
      <c r="G408" s="33" t="str">
        <f aca="false">IF(OR(A408="",AND(A408=A407)),"",SUMIFS($D$5:$D$504,$A$5:$A$504,A408))</f>
        <v/>
      </c>
      <c r="H408" s="33" t="str">
        <f aca="false">IF(OR(A408="",AND(A408=A407)),"",SUMIFS($E$5:$E$504,$A$5:$A$504,A408))</f>
        <v/>
      </c>
      <c r="I408" s="29"/>
      <c r="J408" s="34"/>
      <c r="K408" s="35"/>
    </row>
    <row r="409" customFormat="false" ht="15" hidden="false" customHeight="false" outlineLevel="0" collapsed="false">
      <c r="A409" s="32"/>
      <c r="B409" s="29"/>
      <c r="C409" s="29"/>
      <c r="D409" s="25"/>
      <c r="E409" s="25"/>
      <c r="F409" s="18" t="str">
        <f aca="false">IF(AND(D409="",E409=""),"",'Danh mục'!$F$5+SUM($D$5:D409)-SUM($E$5:E409))</f>
        <v/>
      </c>
      <c r="G409" s="33" t="str">
        <f aca="false">IF(OR(A409="",AND(A409=A408)),"",SUMIFS($D$5:$D$504,$A$5:$A$504,A409))</f>
        <v/>
      </c>
      <c r="H409" s="33" t="str">
        <f aca="false">IF(OR(A409="",AND(A409=A408)),"",SUMIFS($E$5:$E$504,$A$5:$A$504,A409))</f>
        <v/>
      </c>
      <c r="I409" s="29"/>
      <c r="J409" s="34"/>
      <c r="K409" s="35"/>
    </row>
    <row r="410" customFormat="false" ht="15" hidden="false" customHeight="false" outlineLevel="0" collapsed="false">
      <c r="A410" s="32"/>
      <c r="B410" s="29"/>
      <c r="C410" s="29"/>
      <c r="D410" s="25"/>
      <c r="E410" s="25"/>
      <c r="F410" s="18" t="str">
        <f aca="false">IF(AND(D410="",E410=""),"",'Danh mục'!$F$5+SUM($D$5:D410)-SUM($E$5:E410))</f>
        <v/>
      </c>
      <c r="G410" s="33" t="str">
        <f aca="false">IF(OR(A410="",AND(A410=A409)),"",SUMIFS($D$5:$D$504,$A$5:$A$504,A410))</f>
        <v/>
      </c>
      <c r="H410" s="33" t="str">
        <f aca="false">IF(OR(A410="",AND(A410=A409)),"",SUMIFS($E$5:$E$504,$A$5:$A$504,A410))</f>
        <v/>
      </c>
      <c r="I410" s="29"/>
      <c r="J410" s="34"/>
      <c r="K410" s="35"/>
    </row>
    <row r="411" customFormat="false" ht="15" hidden="false" customHeight="false" outlineLevel="0" collapsed="false">
      <c r="A411" s="32"/>
      <c r="B411" s="29"/>
      <c r="C411" s="29"/>
      <c r="D411" s="25"/>
      <c r="E411" s="25"/>
      <c r="F411" s="18" t="str">
        <f aca="false">IF(AND(D411="",E411=""),"",'Danh mục'!$F$5+SUM($D$5:D411)-SUM($E$5:E411))</f>
        <v/>
      </c>
      <c r="G411" s="33" t="str">
        <f aca="false">IF(OR(A411="",AND(A411=A410)),"",SUMIFS($D$5:$D$504,$A$5:$A$504,A411))</f>
        <v/>
      </c>
      <c r="H411" s="33" t="str">
        <f aca="false">IF(OR(A411="",AND(A411=A410)),"",SUMIFS($E$5:$E$504,$A$5:$A$504,A411))</f>
        <v/>
      </c>
      <c r="I411" s="29"/>
      <c r="J411" s="34"/>
      <c r="K411" s="35"/>
    </row>
    <row r="412" customFormat="false" ht="15" hidden="false" customHeight="false" outlineLevel="0" collapsed="false">
      <c r="A412" s="32"/>
      <c r="B412" s="29"/>
      <c r="C412" s="29"/>
      <c r="D412" s="25"/>
      <c r="E412" s="25"/>
      <c r="F412" s="18" t="str">
        <f aca="false">IF(AND(D412="",E412=""),"",'Danh mục'!$F$5+SUM($D$5:D412)-SUM($E$5:E412))</f>
        <v/>
      </c>
      <c r="G412" s="33" t="str">
        <f aca="false">IF(OR(A412="",AND(A412=A411)),"",SUMIFS($D$5:$D$504,$A$5:$A$504,A412))</f>
        <v/>
      </c>
      <c r="H412" s="33" t="str">
        <f aca="false">IF(OR(A412="",AND(A412=A411)),"",SUMIFS($E$5:$E$504,$A$5:$A$504,A412))</f>
        <v/>
      </c>
      <c r="I412" s="29"/>
      <c r="J412" s="34"/>
      <c r="K412" s="35"/>
    </row>
    <row r="413" customFormat="false" ht="15" hidden="false" customHeight="false" outlineLevel="0" collapsed="false">
      <c r="A413" s="32"/>
      <c r="B413" s="29"/>
      <c r="C413" s="29"/>
      <c r="D413" s="25"/>
      <c r="E413" s="25"/>
      <c r="F413" s="18" t="str">
        <f aca="false">IF(AND(D413="",E413=""),"",'Danh mục'!$F$5+SUM($D$5:D413)-SUM($E$5:E413))</f>
        <v/>
      </c>
      <c r="G413" s="33" t="str">
        <f aca="false">IF(OR(A413="",AND(A413=A412)),"",SUMIFS($D$5:$D$504,$A$5:$A$504,A413))</f>
        <v/>
      </c>
      <c r="H413" s="33" t="str">
        <f aca="false">IF(OR(A413="",AND(A413=A412)),"",SUMIFS($E$5:$E$504,$A$5:$A$504,A413))</f>
        <v/>
      </c>
      <c r="I413" s="29"/>
      <c r="J413" s="34"/>
      <c r="K413" s="35"/>
    </row>
    <row r="414" customFormat="false" ht="15" hidden="false" customHeight="false" outlineLevel="0" collapsed="false">
      <c r="A414" s="32"/>
      <c r="B414" s="29"/>
      <c r="C414" s="29"/>
      <c r="D414" s="25"/>
      <c r="E414" s="25"/>
      <c r="F414" s="18" t="str">
        <f aca="false">IF(AND(D414="",E414=""),"",'Danh mục'!$F$5+SUM($D$5:D414)-SUM($E$5:E414))</f>
        <v/>
      </c>
      <c r="G414" s="33" t="str">
        <f aca="false">IF(OR(A414="",AND(A414=A413)),"",SUMIFS($D$5:$D$504,$A$5:$A$504,A414))</f>
        <v/>
      </c>
      <c r="H414" s="33" t="str">
        <f aca="false">IF(OR(A414="",AND(A414=A413)),"",SUMIFS($E$5:$E$504,$A$5:$A$504,A414))</f>
        <v/>
      </c>
      <c r="I414" s="29"/>
      <c r="J414" s="34"/>
      <c r="K414" s="35"/>
    </row>
    <row r="415" customFormat="false" ht="15" hidden="false" customHeight="false" outlineLevel="0" collapsed="false">
      <c r="A415" s="32"/>
      <c r="B415" s="29"/>
      <c r="C415" s="29"/>
      <c r="D415" s="25"/>
      <c r="E415" s="25"/>
      <c r="F415" s="18" t="str">
        <f aca="false">IF(AND(D415="",E415=""),"",'Danh mục'!$F$5+SUM($D$5:D415)-SUM($E$5:E415))</f>
        <v/>
      </c>
      <c r="G415" s="33" t="str">
        <f aca="false">IF(OR(A415="",AND(A415=A414)),"",SUMIFS($D$5:$D$504,$A$5:$A$504,A415))</f>
        <v/>
      </c>
      <c r="H415" s="33" t="str">
        <f aca="false">IF(OR(A415="",AND(A415=A414)),"",SUMIFS($E$5:$E$504,$A$5:$A$504,A415))</f>
        <v/>
      </c>
      <c r="I415" s="29"/>
      <c r="J415" s="34"/>
      <c r="K415" s="35"/>
    </row>
    <row r="416" customFormat="false" ht="15" hidden="false" customHeight="false" outlineLevel="0" collapsed="false">
      <c r="A416" s="32"/>
      <c r="B416" s="29"/>
      <c r="C416" s="29"/>
      <c r="D416" s="25"/>
      <c r="E416" s="25"/>
      <c r="F416" s="18" t="str">
        <f aca="false">IF(AND(D416="",E416=""),"",'Danh mục'!$F$5+SUM($D$5:D416)-SUM($E$5:E416))</f>
        <v/>
      </c>
      <c r="G416" s="33" t="str">
        <f aca="false">IF(OR(A416="",AND(A416=A415)),"",SUMIFS($D$5:$D$504,$A$5:$A$504,A416))</f>
        <v/>
      </c>
      <c r="H416" s="33" t="str">
        <f aca="false">IF(OR(A416="",AND(A416=A415)),"",SUMIFS($E$5:$E$504,$A$5:$A$504,A416))</f>
        <v/>
      </c>
      <c r="I416" s="29"/>
      <c r="J416" s="34"/>
      <c r="K416" s="35"/>
    </row>
    <row r="417" customFormat="false" ht="15" hidden="false" customHeight="false" outlineLevel="0" collapsed="false">
      <c r="A417" s="32"/>
      <c r="B417" s="29"/>
      <c r="C417" s="29"/>
      <c r="D417" s="25"/>
      <c r="E417" s="25"/>
      <c r="F417" s="18" t="str">
        <f aca="false">IF(AND(D417="",E417=""),"",'Danh mục'!$F$5+SUM($D$5:D417)-SUM($E$5:E417))</f>
        <v/>
      </c>
      <c r="G417" s="33" t="str">
        <f aca="false">IF(OR(A417="",AND(A417=A416)),"",SUMIFS($D$5:$D$504,$A$5:$A$504,A417))</f>
        <v/>
      </c>
      <c r="H417" s="33" t="str">
        <f aca="false">IF(OR(A417="",AND(A417=A416)),"",SUMIFS($E$5:$E$504,$A$5:$A$504,A417))</f>
        <v/>
      </c>
      <c r="I417" s="29"/>
      <c r="J417" s="34"/>
      <c r="K417" s="35"/>
    </row>
    <row r="418" customFormat="false" ht="15" hidden="false" customHeight="false" outlineLevel="0" collapsed="false">
      <c r="A418" s="32"/>
      <c r="B418" s="29"/>
      <c r="C418" s="29"/>
      <c r="D418" s="25"/>
      <c r="E418" s="25"/>
      <c r="F418" s="18" t="str">
        <f aca="false">IF(AND(D418="",E418=""),"",'Danh mục'!$F$5+SUM($D$5:D418)-SUM($E$5:E418))</f>
        <v/>
      </c>
      <c r="G418" s="33" t="str">
        <f aca="false">IF(OR(A418="",AND(A418=A417)),"",SUMIFS($D$5:$D$504,$A$5:$A$504,A418))</f>
        <v/>
      </c>
      <c r="H418" s="33" t="str">
        <f aca="false">IF(OR(A418="",AND(A418=A417)),"",SUMIFS($E$5:$E$504,$A$5:$A$504,A418))</f>
        <v/>
      </c>
      <c r="I418" s="29"/>
      <c r="J418" s="34"/>
      <c r="K418" s="35"/>
    </row>
    <row r="419" customFormat="false" ht="15" hidden="false" customHeight="false" outlineLevel="0" collapsed="false">
      <c r="A419" s="32"/>
      <c r="B419" s="29"/>
      <c r="C419" s="29"/>
      <c r="D419" s="25"/>
      <c r="E419" s="25"/>
      <c r="F419" s="18" t="str">
        <f aca="false">IF(AND(D419="",E419=""),"",'Danh mục'!$F$5+SUM($D$5:D419)-SUM($E$5:E419))</f>
        <v/>
      </c>
      <c r="G419" s="33" t="str">
        <f aca="false">IF(OR(A419="",AND(A419=A418)),"",SUMIFS($D$5:$D$504,$A$5:$A$504,A419))</f>
        <v/>
      </c>
      <c r="H419" s="33" t="str">
        <f aca="false">IF(OR(A419="",AND(A419=A418)),"",SUMIFS($E$5:$E$504,$A$5:$A$504,A419))</f>
        <v/>
      </c>
      <c r="I419" s="29"/>
      <c r="J419" s="34"/>
      <c r="K419" s="35"/>
    </row>
    <row r="420" customFormat="false" ht="15" hidden="false" customHeight="false" outlineLevel="0" collapsed="false">
      <c r="A420" s="32"/>
      <c r="B420" s="29"/>
      <c r="C420" s="29"/>
      <c r="D420" s="25"/>
      <c r="E420" s="25"/>
      <c r="F420" s="18" t="str">
        <f aca="false">IF(AND(D420="",E420=""),"",'Danh mục'!$F$5+SUM($D$5:D420)-SUM($E$5:E420))</f>
        <v/>
      </c>
      <c r="G420" s="33" t="str">
        <f aca="false">IF(OR(A420="",AND(A420=A419)),"",SUMIFS($D$5:$D$504,$A$5:$A$504,A420))</f>
        <v/>
      </c>
      <c r="H420" s="33" t="str">
        <f aca="false">IF(OR(A420="",AND(A420=A419)),"",SUMIFS($E$5:$E$504,$A$5:$A$504,A420))</f>
        <v/>
      </c>
      <c r="I420" s="29"/>
      <c r="J420" s="34"/>
      <c r="K420" s="35"/>
    </row>
    <row r="421" customFormat="false" ht="15" hidden="false" customHeight="false" outlineLevel="0" collapsed="false">
      <c r="A421" s="32"/>
      <c r="B421" s="29"/>
      <c r="C421" s="29"/>
      <c r="D421" s="25"/>
      <c r="E421" s="25"/>
      <c r="F421" s="18" t="str">
        <f aca="false">IF(AND(D421="",E421=""),"",'Danh mục'!$F$5+SUM($D$5:D421)-SUM($E$5:E421))</f>
        <v/>
      </c>
      <c r="G421" s="33" t="str">
        <f aca="false">IF(OR(A421="",AND(A421=A420)),"",SUMIFS($D$5:$D$504,$A$5:$A$504,A421))</f>
        <v/>
      </c>
      <c r="H421" s="33" t="str">
        <f aca="false">IF(OR(A421="",AND(A421=A420)),"",SUMIFS($E$5:$E$504,$A$5:$A$504,A421))</f>
        <v/>
      </c>
      <c r="I421" s="29"/>
      <c r="J421" s="34"/>
      <c r="K421" s="35"/>
    </row>
    <row r="422" customFormat="false" ht="15" hidden="false" customHeight="false" outlineLevel="0" collapsed="false">
      <c r="A422" s="32"/>
      <c r="B422" s="29"/>
      <c r="C422" s="29"/>
      <c r="D422" s="25"/>
      <c r="E422" s="25"/>
      <c r="F422" s="18" t="str">
        <f aca="false">IF(AND(D422="",E422=""),"",'Danh mục'!$F$5+SUM($D$5:D422)-SUM($E$5:E422))</f>
        <v/>
      </c>
      <c r="G422" s="33" t="str">
        <f aca="false">IF(OR(A422="",AND(A422=A421)),"",SUMIFS($D$5:$D$504,$A$5:$A$504,A422))</f>
        <v/>
      </c>
      <c r="H422" s="33" t="str">
        <f aca="false">IF(OR(A422="",AND(A422=A421)),"",SUMIFS($E$5:$E$504,$A$5:$A$504,A422))</f>
        <v/>
      </c>
      <c r="I422" s="29"/>
      <c r="J422" s="34"/>
      <c r="K422" s="35"/>
    </row>
    <row r="423" customFormat="false" ht="15" hidden="false" customHeight="false" outlineLevel="0" collapsed="false">
      <c r="A423" s="32"/>
      <c r="B423" s="29"/>
      <c r="C423" s="29"/>
      <c r="D423" s="25"/>
      <c r="E423" s="25"/>
      <c r="F423" s="18" t="str">
        <f aca="false">IF(AND(D423="",E423=""),"",'Danh mục'!$F$5+SUM($D$5:D423)-SUM($E$5:E423))</f>
        <v/>
      </c>
      <c r="G423" s="33" t="str">
        <f aca="false">IF(OR(A423="",AND(A423=A422)),"",SUMIFS($D$5:$D$504,$A$5:$A$504,A423))</f>
        <v/>
      </c>
      <c r="H423" s="33" t="str">
        <f aca="false">IF(OR(A423="",AND(A423=A422)),"",SUMIFS($E$5:$E$504,$A$5:$A$504,A423))</f>
        <v/>
      </c>
      <c r="I423" s="29"/>
      <c r="J423" s="34"/>
      <c r="K423" s="35"/>
    </row>
    <row r="424" customFormat="false" ht="15" hidden="false" customHeight="false" outlineLevel="0" collapsed="false">
      <c r="A424" s="32"/>
      <c r="B424" s="29"/>
      <c r="C424" s="29"/>
      <c r="D424" s="25"/>
      <c r="E424" s="25"/>
      <c r="F424" s="18" t="str">
        <f aca="false">IF(AND(D424="",E424=""),"",'Danh mục'!$F$5+SUM($D$5:D424)-SUM($E$5:E424))</f>
        <v/>
      </c>
      <c r="G424" s="33" t="str">
        <f aca="false">IF(OR(A424="",AND(A424=A423)),"",SUMIFS($D$5:$D$504,$A$5:$A$504,A424))</f>
        <v/>
      </c>
      <c r="H424" s="33" t="str">
        <f aca="false">IF(OR(A424="",AND(A424=A423)),"",SUMIFS($E$5:$E$504,$A$5:$A$504,A424))</f>
        <v/>
      </c>
      <c r="I424" s="29"/>
      <c r="J424" s="34"/>
      <c r="K424" s="35"/>
    </row>
    <row r="425" customFormat="false" ht="15" hidden="false" customHeight="false" outlineLevel="0" collapsed="false">
      <c r="A425" s="32"/>
      <c r="B425" s="29"/>
      <c r="C425" s="29"/>
      <c r="D425" s="25"/>
      <c r="E425" s="25"/>
      <c r="F425" s="18" t="str">
        <f aca="false">IF(AND(D425="",E425=""),"",'Danh mục'!$F$5+SUM($D$5:D425)-SUM($E$5:E425))</f>
        <v/>
      </c>
      <c r="G425" s="33" t="str">
        <f aca="false">IF(OR(A425="",AND(A425=A424)),"",SUMIFS($D$5:$D$504,$A$5:$A$504,A425))</f>
        <v/>
      </c>
      <c r="H425" s="33" t="str">
        <f aca="false">IF(OR(A425="",AND(A425=A424)),"",SUMIFS($E$5:$E$504,$A$5:$A$504,A425))</f>
        <v/>
      </c>
      <c r="I425" s="29"/>
      <c r="J425" s="34"/>
      <c r="K425" s="35"/>
    </row>
    <row r="426" customFormat="false" ht="15" hidden="false" customHeight="false" outlineLevel="0" collapsed="false">
      <c r="A426" s="32"/>
      <c r="B426" s="29"/>
      <c r="C426" s="29"/>
      <c r="D426" s="25"/>
      <c r="E426" s="25"/>
      <c r="F426" s="18" t="str">
        <f aca="false">IF(AND(D426="",E426=""),"",'Danh mục'!$F$5+SUM($D$5:D426)-SUM($E$5:E426))</f>
        <v/>
      </c>
      <c r="G426" s="33" t="str">
        <f aca="false">IF(OR(A426="",AND(A426=A425)),"",SUMIFS($D$5:$D$504,$A$5:$A$504,A426))</f>
        <v/>
      </c>
      <c r="H426" s="33" t="str">
        <f aca="false">IF(OR(A426="",AND(A426=A425)),"",SUMIFS($E$5:$E$504,$A$5:$A$504,A426))</f>
        <v/>
      </c>
      <c r="I426" s="29"/>
      <c r="J426" s="34"/>
      <c r="K426" s="35"/>
    </row>
    <row r="427" customFormat="false" ht="15" hidden="false" customHeight="false" outlineLevel="0" collapsed="false">
      <c r="A427" s="32"/>
      <c r="B427" s="29"/>
      <c r="C427" s="29"/>
      <c r="D427" s="25"/>
      <c r="E427" s="25"/>
      <c r="F427" s="18" t="str">
        <f aca="false">IF(AND(D427="",E427=""),"",'Danh mục'!$F$5+SUM($D$5:D427)-SUM($E$5:E427))</f>
        <v/>
      </c>
      <c r="G427" s="33" t="str">
        <f aca="false">IF(OR(A427="",AND(A427=A426)),"",SUMIFS($D$5:$D$504,$A$5:$A$504,A427))</f>
        <v/>
      </c>
      <c r="H427" s="33" t="str">
        <f aca="false">IF(OR(A427="",AND(A427=A426)),"",SUMIFS($E$5:$E$504,$A$5:$A$504,A427))</f>
        <v/>
      </c>
      <c r="I427" s="29"/>
      <c r="J427" s="34"/>
      <c r="K427" s="35"/>
    </row>
    <row r="428" customFormat="false" ht="15" hidden="false" customHeight="false" outlineLevel="0" collapsed="false">
      <c r="A428" s="32"/>
      <c r="B428" s="29"/>
      <c r="C428" s="29"/>
      <c r="D428" s="25"/>
      <c r="E428" s="25"/>
      <c r="F428" s="18" t="str">
        <f aca="false">IF(AND(D428="",E428=""),"",'Danh mục'!$F$5+SUM($D$5:D428)-SUM($E$5:E428))</f>
        <v/>
      </c>
      <c r="G428" s="33" t="str">
        <f aca="false">IF(OR(A428="",AND(A428=A427)),"",SUMIFS($D$5:$D$504,$A$5:$A$504,A428))</f>
        <v/>
      </c>
      <c r="H428" s="33" t="str">
        <f aca="false">IF(OR(A428="",AND(A428=A427)),"",SUMIFS($E$5:$E$504,$A$5:$A$504,A428))</f>
        <v/>
      </c>
      <c r="I428" s="29"/>
      <c r="J428" s="34"/>
      <c r="K428" s="35"/>
    </row>
    <row r="429" customFormat="false" ht="15" hidden="false" customHeight="false" outlineLevel="0" collapsed="false">
      <c r="A429" s="32"/>
      <c r="B429" s="29"/>
      <c r="C429" s="29"/>
      <c r="D429" s="25"/>
      <c r="E429" s="25"/>
      <c r="F429" s="18" t="str">
        <f aca="false">IF(AND(D429="",E429=""),"",'Danh mục'!$F$5+SUM($D$5:D429)-SUM($E$5:E429))</f>
        <v/>
      </c>
      <c r="G429" s="33" t="str">
        <f aca="false">IF(OR(A429="",AND(A429=A428)),"",SUMIFS($D$5:$D$504,$A$5:$A$504,A429))</f>
        <v/>
      </c>
      <c r="H429" s="33" t="str">
        <f aca="false">IF(OR(A429="",AND(A429=A428)),"",SUMIFS($E$5:$E$504,$A$5:$A$504,A429))</f>
        <v/>
      </c>
      <c r="I429" s="29"/>
      <c r="J429" s="34"/>
      <c r="K429" s="35"/>
    </row>
    <row r="430" customFormat="false" ht="15" hidden="false" customHeight="false" outlineLevel="0" collapsed="false">
      <c r="A430" s="32"/>
      <c r="B430" s="29"/>
      <c r="C430" s="29"/>
      <c r="D430" s="25"/>
      <c r="E430" s="25"/>
      <c r="F430" s="18" t="str">
        <f aca="false">IF(AND(D430="",E430=""),"",'Danh mục'!$F$5+SUM($D$5:D430)-SUM($E$5:E430))</f>
        <v/>
      </c>
      <c r="G430" s="33" t="str">
        <f aca="false">IF(OR(A430="",AND(A430=A429)),"",SUMIFS($D$5:$D$504,$A$5:$A$504,A430))</f>
        <v/>
      </c>
      <c r="H430" s="33" t="str">
        <f aca="false">IF(OR(A430="",AND(A430=A429)),"",SUMIFS($E$5:$E$504,$A$5:$A$504,A430))</f>
        <v/>
      </c>
      <c r="I430" s="29"/>
      <c r="J430" s="34"/>
      <c r="K430" s="35"/>
    </row>
    <row r="431" customFormat="false" ht="15" hidden="false" customHeight="false" outlineLevel="0" collapsed="false">
      <c r="A431" s="32"/>
      <c r="B431" s="29"/>
      <c r="C431" s="29"/>
      <c r="D431" s="25"/>
      <c r="E431" s="25"/>
      <c r="F431" s="18" t="str">
        <f aca="false">IF(AND(D431="",E431=""),"",'Danh mục'!$F$5+SUM($D$5:D431)-SUM($E$5:E431))</f>
        <v/>
      </c>
      <c r="G431" s="33" t="str">
        <f aca="false">IF(OR(A431="",AND(A431=A430)),"",SUMIFS($D$5:$D$504,$A$5:$A$504,A431))</f>
        <v/>
      </c>
      <c r="H431" s="33" t="str">
        <f aca="false">IF(OR(A431="",AND(A431=A430)),"",SUMIFS($E$5:$E$504,$A$5:$A$504,A431))</f>
        <v/>
      </c>
      <c r="I431" s="29"/>
      <c r="J431" s="34"/>
      <c r="K431" s="35"/>
    </row>
    <row r="432" customFormat="false" ht="15" hidden="false" customHeight="false" outlineLevel="0" collapsed="false">
      <c r="A432" s="32"/>
      <c r="B432" s="29"/>
      <c r="C432" s="29"/>
      <c r="D432" s="25"/>
      <c r="E432" s="25"/>
      <c r="F432" s="18" t="str">
        <f aca="false">IF(AND(D432="",E432=""),"",'Danh mục'!$F$5+SUM($D$5:D432)-SUM($E$5:E432))</f>
        <v/>
      </c>
      <c r="G432" s="33" t="str">
        <f aca="false">IF(OR(A432="",AND(A432=A431)),"",SUMIFS($D$5:$D$504,$A$5:$A$504,A432))</f>
        <v/>
      </c>
      <c r="H432" s="33" t="str">
        <f aca="false">IF(OR(A432="",AND(A432=A431)),"",SUMIFS($E$5:$E$504,$A$5:$A$504,A432))</f>
        <v/>
      </c>
      <c r="I432" s="29"/>
      <c r="J432" s="34"/>
      <c r="K432" s="35"/>
    </row>
    <row r="433" customFormat="false" ht="15" hidden="false" customHeight="false" outlineLevel="0" collapsed="false">
      <c r="A433" s="32"/>
      <c r="B433" s="29"/>
      <c r="C433" s="29"/>
      <c r="D433" s="25"/>
      <c r="E433" s="25"/>
      <c r="F433" s="18" t="str">
        <f aca="false">IF(AND(D433="",E433=""),"",'Danh mục'!$F$5+SUM($D$5:D433)-SUM($E$5:E433))</f>
        <v/>
      </c>
      <c r="G433" s="33" t="str">
        <f aca="false">IF(OR(A433="",AND(A433=A432)),"",SUMIFS($D$5:$D$504,$A$5:$A$504,A433))</f>
        <v/>
      </c>
      <c r="H433" s="33" t="str">
        <f aca="false">IF(OR(A433="",AND(A433=A432)),"",SUMIFS($E$5:$E$504,$A$5:$A$504,A433))</f>
        <v/>
      </c>
      <c r="I433" s="29"/>
      <c r="J433" s="34"/>
      <c r="K433" s="35"/>
    </row>
    <row r="434" customFormat="false" ht="15" hidden="false" customHeight="false" outlineLevel="0" collapsed="false">
      <c r="A434" s="32"/>
      <c r="B434" s="29"/>
      <c r="C434" s="29"/>
      <c r="D434" s="25"/>
      <c r="E434" s="25"/>
      <c r="F434" s="18" t="str">
        <f aca="false">IF(AND(D434="",E434=""),"",'Danh mục'!$F$5+SUM($D$5:D434)-SUM($E$5:E434))</f>
        <v/>
      </c>
      <c r="G434" s="33" t="str">
        <f aca="false">IF(OR(A434="",AND(A434=A433)),"",SUMIFS($D$5:$D$504,$A$5:$A$504,A434))</f>
        <v/>
      </c>
      <c r="H434" s="33" t="str">
        <f aca="false">IF(OR(A434="",AND(A434=A433)),"",SUMIFS($E$5:$E$504,$A$5:$A$504,A434))</f>
        <v/>
      </c>
      <c r="I434" s="29"/>
      <c r="J434" s="34"/>
      <c r="K434" s="35"/>
    </row>
    <row r="435" customFormat="false" ht="15" hidden="false" customHeight="false" outlineLevel="0" collapsed="false">
      <c r="A435" s="32"/>
      <c r="B435" s="29"/>
      <c r="C435" s="29"/>
      <c r="D435" s="25"/>
      <c r="E435" s="25"/>
      <c r="F435" s="18" t="str">
        <f aca="false">IF(AND(D435="",E435=""),"",'Danh mục'!$F$5+SUM($D$5:D435)-SUM($E$5:E435))</f>
        <v/>
      </c>
      <c r="G435" s="33" t="str">
        <f aca="false">IF(OR(A435="",AND(A435=A434)),"",SUMIFS($D$5:$D$504,$A$5:$A$504,A435))</f>
        <v/>
      </c>
      <c r="H435" s="33" t="str">
        <f aca="false">IF(OR(A435="",AND(A435=A434)),"",SUMIFS($E$5:$E$504,$A$5:$A$504,A435))</f>
        <v/>
      </c>
      <c r="I435" s="29"/>
      <c r="J435" s="34"/>
      <c r="K435" s="35"/>
    </row>
    <row r="436" customFormat="false" ht="15" hidden="false" customHeight="false" outlineLevel="0" collapsed="false">
      <c r="A436" s="32"/>
      <c r="B436" s="29"/>
      <c r="C436" s="29"/>
      <c r="D436" s="25"/>
      <c r="E436" s="25"/>
      <c r="F436" s="18" t="str">
        <f aca="false">IF(AND(D436="",E436=""),"",'Danh mục'!$F$5+SUM($D$5:D436)-SUM($E$5:E436))</f>
        <v/>
      </c>
      <c r="G436" s="33" t="str">
        <f aca="false">IF(OR(A436="",AND(A436=A435)),"",SUMIFS($D$5:$D$504,$A$5:$A$504,A436))</f>
        <v/>
      </c>
      <c r="H436" s="33" t="str">
        <f aca="false">IF(OR(A436="",AND(A436=A435)),"",SUMIFS($E$5:$E$504,$A$5:$A$504,A436))</f>
        <v/>
      </c>
      <c r="I436" s="29"/>
      <c r="J436" s="34"/>
      <c r="K436" s="35"/>
    </row>
    <row r="437" customFormat="false" ht="15" hidden="false" customHeight="false" outlineLevel="0" collapsed="false">
      <c r="A437" s="32"/>
      <c r="B437" s="29"/>
      <c r="C437" s="29"/>
      <c r="D437" s="25"/>
      <c r="E437" s="25"/>
      <c r="F437" s="18" t="str">
        <f aca="false">IF(AND(D437="",E437=""),"",'Danh mục'!$F$5+SUM($D$5:D437)-SUM($E$5:E437))</f>
        <v/>
      </c>
      <c r="G437" s="33" t="str">
        <f aca="false">IF(OR(A437="",AND(A437=A436)),"",SUMIFS($D$5:$D$504,$A$5:$A$504,A437))</f>
        <v/>
      </c>
      <c r="H437" s="33" t="str">
        <f aca="false">IF(OR(A437="",AND(A437=A436)),"",SUMIFS($E$5:$E$504,$A$5:$A$504,A437))</f>
        <v/>
      </c>
      <c r="I437" s="29"/>
      <c r="J437" s="34"/>
      <c r="K437" s="35"/>
    </row>
    <row r="438" customFormat="false" ht="15" hidden="false" customHeight="false" outlineLevel="0" collapsed="false">
      <c r="A438" s="32"/>
      <c r="B438" s="29"/>
      <c r="C438" s="29"/>
      <c r="D438" s="25"/>
      <c r="E438" s="25"/>
      <c r="F438" s="18" t="str">
        <f aca="false">IF(AND(D438="",E438=""),"",'Danh mục'!$F$5+SUM($D$5:D438)-SUM($E$5:E438))</f>
        <v/>
      </c>
      <c r="G438" s="33" t="str">
        <f aca="false">IF(OR(A438="",AND(A438=A437)),"",SUMIFS($D$5:$D$504,$A$5:$A$504,A438))</f>
        <v/>
      </c>
      <c r="H438" s="33" t="str">
        <f aca="false">IF(OR(A438="",AND(A438=A437)),"",SUMIFS($E$5:$E$504,$A$5:$A$504,A438))</f>
        <v/>
      </c>
      <c r="I438" s="29"/>
      <c r="J438" s="34"/>
      <c r="K438" s="35"/>
    </row>
    <row r="439" customFormat="false" ht="15" hidden="false" customHeight="false" outlineLevel="0" collapsed="false">
      <c r="A439" s="32"/>
      <c r="B439" s="29"/>
      <c r="C439" s="29"/>
      <c r="D439" s="25"/>
      <c r="E439" s="25"/>
      <c r="F439" s="18" t="str">
        <f aca="false">IF(AND(D439="",E439=""),"",'Danh mục'!$F$5+SUM($D$5:D439)-SUM($E$5:E439))</f>
        <v/>
      </c>
      <c r="G439" s="33" t="str">
        <f aca="false">IF(OR(A439="",AND(A439=A438)),"",SUMIFS($D$5:$D$504,$A$5:$A$504,A439))</f>
        <v/>
      </c>
      <c r="H439" s="33" t="str">
        <f aca="false">IF(OR(A439="",AND(A439=A438)),"",SUMIFS($E$5:$E$504,$A$5:$A$504,A439))</f>
        <v/>
      </c>
      <c r="I439" s="29"/>
      <c r="J439" s="34"/>
      <c r="K439" s="35"/>
    </row>
    <row r="440" customFormat="false" ht="15" hidden="false" customHeight="false" outlineLevel="0" collapsed="false">
      <c r="A440" s="32"/>
      <c r="B440" s="29"/>
      <c r="C440" s="29"/>
      <c r="D440" s="25"/>
      <c r="E440" s="25"/>
      <c r="F440" s="18" t="str">
        <f aca="false">IF(AND(D440="",E440=""),"",'Danh mục'!$F$5+SUM($D$5:D440)-SUM($E$5:E440))</f>
        <v/>
      </c>
      <c r="G440" s="33" t="str">
        <f aca="false">IF(OR(A440="",AND(A440=A439)),"",SUMIFS($D$5:$D$504,$A$5:$A$504,A440))</f>
        <v/>
      </c>
      <c r="H440" s="33" t="str">
        <f aca="false">IF(OR(A440="",AND(A440=A439)),"",SUMIFS($E$5:$E$504,$A$5:$A$504,A440))</f>
        <v/>
      </c>
      <c r="I440" s="29"/>
      <c r="J440" s="34"/>
      <c r="K440" s="35"/>
    </row>
    <row r="441" customFormat="false" ht="15" hidden="false" customHeight="false" outlineLevel="0" collapsed="false">
      <c r="A441" s="32"/>
      <c r="B441" s="29"/>
      <c r="C441" s="29"/>
      <c r="D441" s="25"/>
      <c r="E441" s="25"/>
      <c r="F441" s="18" t="str">
        <f aca="false">IF(AND(D441="",E441=""),"",'Danh mục'!$F$5+SUM($D$5:D441)-SUM($E$5:E441))</f>
        <v/>
      </c>
      <c r="G441" s="33" t="str">
        <f aca="false">IF(OR(A441="",AND(A441=A440)),"",SUMIFS($D$5:$D$504,$A$5:$A$504,A441))</f>
        <v/>
      </c>
      <c r="H441" s="33" t="str">
        <f aca="false">IF(OR(A441="",AND(A441=A440)),"",SUMIFS($E$5:$E$504,$A$5:$A$504,A441))</f>
        <v/>
      </c>
      <c r="I441" s="29"/>
      <c r="J441" s="34"/>
      <c r="K441" s="35"/>
    </row>
    <row r="442" customFormat="false" ht="15" hidden="false" customHeight="false" outlineLevel="0" collapsed="false">
      <c r="A442" s="32"/>
      <c r="B442" s="29"/>
      <c r="C442" s="29"/>
      <c r="D442" s="25"/>
      <c r="E442" s="25"/>
      <c r="F442" s="18" t="str">
        <f aca="false">IF(AND(D442="",E442=""),"",'Danh mục'!$F$5+SUM($D$5:D442)-SUM($E$5:E442))</f>
        <v/>
      </c>
      <c r="G442" s="33" t="str">
        <f aca="false">IF(OR(A442="",AND(A442=A441)),"",SUMIFS($D$5:$D$504,$A$5:$A$504,A442))</f>
        <v/>
      </c>
      <c r="H442" s="33" t="str">
        <f aca="false">IF(OR(A442="",AND(A442=A441)),"",SUMIFS($E$5:$E$504,$A$5:$A$504,A442))</f>
        <v/>
      </c>
      <c r="I442" s="29"/>
      <c r="J442" s="34"/>
      <c r="K442" s="35"/>
    </row>
    <row r="443" customFormat="false" ht="15" hidden="false" customHeight="false" outlineLevel="0" collapsed="false">
      <c r="A443" s="32"/>
      <c r="B443" s="29"/>
      <c r="C443" s="29"/>
      <c r="D443" s="25"/>
      <c r="E443" s="25"/>
      <c r="F443" s="18" t="str">
        <f aca="false">IF(AND(D443="",E443=""),"",'Danh mục'!$F$5+SUM($D$5:D443)-SUM($E$5:E443))</f>
        <v/>
      </c>
      <c r="G443" s="33" t="str">
        <f aca="false">IF(OR(A443="",AND(A443=A442)),"",SUMIFS($D$5:$D$504,$A$5:$A$504,A443))</f>
        <v/>
      </c>
      <c r="H443" s="33" t="str">
        <f aca="false">IF(OR(A443="",AND(A443=A442)),"",SUMIFS($E$5:$E$504,$A$5:$A$504,A443))</f>
        <v/>
      </c>
      <c r="I443" s="29"/>
      <c r="J443" s="34"/>
      <c r="K443" s="35"/>
    </row>
    <row r="444" customFormat="false" ht="15" hidden="false" customHeight="false" outlineLevel="0" collapsed="false">
      <c r="A444" s="32"/>
      <c r="B444" s="29"/>
      <c r="C444" s="29"/>
      <c r="D444" s="25"/>
      <c r="E444" s="25"/>
      <c r="F444" s="18" t="str">
        <f aca="false">IF(AND(D444="",E444=""),"",'Danh mục'!$F$5+SUM($D$5:D444)-SUM($E$5:E444))</f>
        <v/>
      </c>
      <c r="G444" s="33" t="str">
        <f aca="false">IF(OR(A444="",AND(A444=A443)),"",SUMIFS($D$5:$D$504,$A$5:$A$504,A444))</f>
        <v/>
      </c>
      <c r="H444" s="33" t="str">
        <f aca="false">IF(OR(A444="",AND(A444=A443)),"",SUMIFS($E$5:$E$504,$A$5:$A$504,A444))</f>
        <v/>
      </c>
      <c r="I444" s="29"/>
      <c r="J444" s="34"/>
      <c r="K444" s="35"/>
    </row>
    <row r="445" customFormat="false" ht="15" hidden="false" customHeight="false" outlineLevel="0" collapsed="false">
      <c r="A445" s="32"/>
      <c r="B445" s="29"/>
      <c r="C445" s="29"/>
      <c r="D445" s="25"/>
      <c r="E445" s="25"/>
      <c r="F445" s="18" t="str">
        <f aca="false">IF(AND(D445="",E445=""),"",'Danh mục'!$F$5+SUM($D$5:D445)-SUM($E$5:E445))</f>
        <v/>
      </c>
      <c r="G445" s="33" t="str">
        <f aca="false">IF(OR(A445="",AND(A445=A444)),"",SUMIFS($D$5:$D$504,$A$5:$A$504,A445))</f>
        <v/>
      </c>
      <c r="H445" s="33" t="str">
        <f aca="false">IF(OR(A445="",AND(A445=A444)),"",SUMIFS($E$5:$E$504,$A$5:$A$504,A445))</f>
        <v/>
      </c>
      <c r="I445" s="29"/>
      <c r="J445" s="34"/>
      <c r="K445" s="35"/>
    </row>
    <row r="446" customFormat="false" ht="15" hidden="false" customHeight="false" outlineLevel="0" collapsed="false">
      <c r="A446" s="32"/>
      <c r="B446" s="29"/>
      <c r="C446" s="29"/>
      <c r="D446" s="25"/>
      <c r="E446" s="25"/>
      <c r="F446" s="18" t="str">
        <f aca="false">IF(AND(D446="",E446=""),"",'Danh mục'!$F$5+SUM($D$5:D446)-SUM($E$5:E446))</f>
        <v/>
      </c>
      <c r="G446" s="33" t="str">
        <f aca="false">IF(OR(A446="",AND(A446=A445)),"",SUMIFS($D$5:$D$504,$A$5:$A$504,A446))</f>
        <v/>
      </c>
      <c r="H446" s="33" t="str">
        <f aca="false">IF(OR(A446="",AND(A446=A445)),"",SUMIFS($E$5:$E$504,$A$5:$A$504,A446))</f>
        <v/>
      </c>
      <c r="I446" s="29"/>
      <c r="J446" s="34"/>
      <c r="K446" s="35"/>
    </row>
    <row r="447" customFormat="false" ht="15" hidden="false" customHeight="false" outlineLevel="0" collapsed="false">
      <c r="A447" s="32"/>
      <c r="B447" s="29"/>
      <c r="C447" s="29"/>
      <c r="D447" s="25"/>
      <c r="E447" s="25"/>
      <c r="F447" s="18" t="str">
        <f aca="false">IF(AND(D447="",E447=""),"",'Danh mục'!$F$5+SUM($D$5:D447)-SUM($E$5:E447))</f>
        <v/>
      </c>
      <c r="G447" s="33" t="str">
        <f aca="false">IF(OR(A447="",AND(A447=A446)),"",SUMIFS($D$5:$D$504,$A$5:$A$504,A447))</f>
        <v/>
      </c>
      <c r="H447" s="33" t="str">
        <f aca="false">IF(OR(A447="",AND(A447=A446)),"",SUMIFS($E$5:$E$504,$A$5:$A$504,A447))</f>
        <v/>
      </c>
      <c r="I447" s="29"/>
      <c r="J447" s="34"/>
      <c r="K447" s="35"/>
    </row>
    <row r="448" customFormat="false" ht="15" hidden="false" customHeight="false" outlineLevel="0" collapsed="false">
      <c r="A448" s="32"/>
      <c r="B448" s="29"/>
      <c r="C448" s="29"/>
      <c r="D448" s="25"/>
      <c r="E448" s="25"/>
      <c r="F448" s="18" t="str">
        <f aca="false">IF(AND(D448="",E448=""),"",'Danh mục'!$F$5+SUM($D$5:D448)-SUM($E$5:E448))</f>
        <v/>
      </c>
      <c r="G448" s="33" t="str">
        <f aca="false">IF(OR(A448="",AND(A448=A447)),"",SUMIFS($D$5:$D$504,$A$5:$A$504,A448))</f>
        <v/>
      </c>
      <c r="H448" s="33" t="str">
        <f aca="false">IF(OR(A448="",AND(A448=A447)),"",SUMIFS($E$5:$E$504,$A$5:$A$504,A448))</f>
        <v/>
      </c>
      <c r="I448" s="29"/>
      <c r="J448" s="34"/>
      <c r="K448" s="35"/>
    </row>
    <row r="449" customFormat="false" ht="15" hidden="false" customHeight="false" outlineLevel="0" collapsed="false">
      <c r="A449" s="32"/>
      <c r="B449" s="29"/>
      <c r="C449" s="29"/>
      <c r="D449" s="25"/>
      <c r="E449" s="25"/>
      <c r="F449" s="18" t="str">
        <f aca="false">IF(AND(D449="",E449=""),"",'Danh mục'!$F$5+SUM($D$5:D449)-SUM($E$5:E449))</f>
        <v/>
      </c>
      <c r="G449" s="33" t="str">
        <f aca="false">IF(OR(A449="",AND(A449=A448)),"",SUMIFS($D$5:$D$504,$A$5:$A$504,A449))</f>
        <v/>
      </c>
      <c r="H449" s="33" t="str">
        <f aca="false">IF(OR(A449="",AND(A449=A448)),"",SUMIFS($E$5:$E$504,$A$5:$A$504,A449))</f>
        <v/>
      </c>
      <c r="I449" s="29"/>
      <c r="J449" s="34"/>
      <c r="K449" s="35"/>
    </row>
    <row r="450" customFormat="false" ht="15" hidden="false" customHeight="false" outlineLevel="0" collapsed="false">
      <c r="A450" s="32"/>
      <c r="B450" s="29"/>
      <c r="C450" s="29"/>
      <c r="D450" s="25"/>
      <c r="E450" s="25"/>
      <c r="F450" s="18" t="str">
        <f aca="false">IF(AND(D450="",E450=""),"",'Danh mục'!$F$5+SUM($D$5:D450)-SUM($E$5:E450))</f>
        <v/>
      </c>
      <c r="G450" s="33" t="str">
        <f aca="false">IF(OR(A450="",AND(A450=A449)),"",SUMIFS($D$5:$D$504,$A$5:$A$504,A450))</f>
        <v/>
      </c>
      <c r="H450" s="33" t="str">
        <f aca="false">IF(OR(A450="",AND(A450=A449)),"",SUMIFS($E$5:$E$504,$A$5:$A$504,A450))</f>
        <v/>
      </c>
      <c r="I450" s="29"/>
      <c r="J450" s="34"/>
      <c r="K450" s="35"/>
    </row>
    <row r="451" customFormat="false" ht="15" hidden="false" customHeight="false" outlineLevel="0" collapsed="false">
      <c r="A451" s="32"/>
      <c r="B451" s="29"/>
      <c r="C451" s="29"/>
      <c r="D451" s="25"/>
      <c r="E451" s="25"/>
      <c r="F451" s="18" t="str">
        <f aca="false">IF(AND(D451="",E451=""),"",'Danh mục'!$F$5+SUM($D$5:D451)-SUM($E$5:E451))</f>
        <v/>
      </c>
      <c r="G451" s="33" t="str">
        <f aca="false">IF(OR(A451="",AND(A451=A450)),"",SUMIFS($D$5:$D$504,$A$5:$A$504,A451))</f>
        <v/>
      </c>
      <c r="H451" s="33" t="str">
        <f aca="false">IF(OR(A451="",AND(A451=A450)),"",SUMIFS($E$5:$E$504,$A$5:$A$504,A451))</f>
        <v/>
      </c>
      <c r="I451" s="29"/>
      <c r="J451" s="34"/>
      <c r="K451" s="35"/>
    </row>
    <row r="452" customFormat="false" ht="15" hidden="false" customHeight="false" outlineLevel="0" collapsed="false">
      <c r="A452" s="32"/>
      <c r="B452" s="29"/>
      <c r="C452" s="29"/>
      <c r="D452" s="25"/>
      <c r="E452" s="25"/>
      <c r="F452" s="18" t="str">
        <f aca="false">IF(AND(D452="",E452=""),"",'Danh mục'!$F$5+SUM($D$5:D452)-SUM($E$5:E452))</f>
        <v/>
      </c>
      <c r="G452" s="33" t="str">
        <f aca="false">IF(OR(A452="",AND(A452=A451)),"",SUMIFS($D$5:$D$504,$A$5:$A$504,A452))</f>
        <v/>
      </c>
      <c r="H452" s="33" t="str">
        <f aca="false">IF(OR(A452="",AND(A452=A451)),"",SUMIFS($E$5:$E$504,$A$5:$A$504,A452))</f>
        <v/>
      </c>
      <c r="I452" s="29"/>
      <c r="J452" s="34"/>
      <c r="K452" s="35"/>
    </row>
    <row r="453" customFormat="false" ht="15" hidden="false" customHeight="false" outlineLevel="0" collapsed="false">
      <c r="A453" s="32"/>
      <c r="B453" s="29"/>
      <c r="C453" s="29"/>
      <c r="D453" s="25"/>
      <c r="E453" s="25"/>
      <c r="F453" s="18" t="str">
        <f aca="false">IF(AND(D453="",E453=""),"",'Danh mục'!$F$5+SUM($D$5:D453)-SUM($E$5:E453))</f>
        <v/>
      </c>
      <c r="G453" s="33" t="str">
        <f aca="false">IF(OR(A453="",AND(A453=A452)),"",SUMIFS($D$5:$D$504,$A$5:$A$504,A453))</f>
        <v/>
      </c>
      <c r="H453" s="33" t="str">
        <f aca="false">IF(OR(A453="",AND(A453=A452)),"",SUMIFS($E$5:$E$504,$A$5:$A$504,A453))</f>
        <v/>
      </c>
      <c r="I453" s="29"/>
      <c r="J453" s="34"/>
      <c r="K453" s="35"/>
    </row>
    <row r="454" customFormat="false" ht="15" hidden="false" customHeight="false" outlineLevel="0" collapsed="false">
      <c r="A454" s="32"/>
      <c r="B454" s="29"/>
      <c r="C454" s="29"/>
      <c r="D454" s="25"/>
      <c r="E454" s="25"/>
      <c r="F454" s="18" t="str">
        <f aca="false">IF(AND(D454="",E454=""),"",'Danh mục'!$F$5+SUM($D$5:D454)-SUM($E$5:E454))</f>
        <v/>
      </c>
      <c r="G454" s="33" t="str">
        <f aca="false">IF(OR(A454="",AND(A454=A453)),"",SUMIFS($D$5:$D$504,$A$5:$A$504,A454))</f>
        <v/>
      </c>
      <c r="H454" s="33" t="str">
        <f aca="false">IF(OR(A454="",AND(A454=A453)),"",SUMIFS($E$5:$E$504,$A$5:$A$504,A454))</f>
        <v/>
      </c>
      <c r="I454" s="29"/>
      <c r="J454" s="34"/>
      <c r="K454" s="35"/>
    </row>
    <row r="455" customFormat="false" ht="15" hidden="false" customHeight="false" outlineLevel="0" collapsed="false">
      <c r="A455" s="32"/>
      <c r="B455" s="29"/>
      <c r="C455" s="29"/>
      <c r="D455" s="25"/>
      <c r="E455" s="25"/>
      <c r="F455" s="18" t="str">
        <f aca="false">IF(AND(D455="",E455=""),"",'Danh mục'!$F$5+SUM($D$5:D455)-SUM($E$5:E455))</f>
        <v/>
      </c>
      <c r="G455" s="33" t="str">
        <f aca="false">IF(OR(A455="",AND(A455=A454)),"",SUMIFS($D$5:$D$504,$A$5:$A$504,A455))</f>
        <v/>
      </c>
      <c r="H455" s="33" t="str">
        <f aca="false">IF(OR(A455="",AND(A455=A454)),"",SUMIFS($E$5:$E$504,$A$5:$A$504,A455))</f>
        <v/>
      </c>
      <c r="I455" s="29"/>
      <c r="J455" s="34"/>
      <c r="K455" s="35"/>
    </row>
    <row r="456" customFormat="false" ht="15" hidden="false" customHeight="false" outlineLevel="0" collapsed="false">
      <c r="A456" s="32"/>
      <c r="B456" s="29"/>
      <c r="C456" s="29"/>
      <c r="D456" s="25"/>
      <c r="E456" s="25"/>
      <c r="F456" s="18" t="str">
        <f aca="false">IF(AND(D456="",E456=""),"",'Danh mục'!$F$5+SUM($D$5:D456)-SUM($E$5:E456))</f>
        <v/>
      </c>
      <c r="G456" s="33" t="str">
        <f aca="false">IF(OR(A456="",AND(A456=A455)),"",SUMIFS($D$5:$D$504,$A$5:$A$504,A456))</f>
        <v/>
      </c>
      <c r="H456" s="33" t="str">
        <f aca="false">IF(OR(A456="",AND(A456=A455)),"",SUMIFS($E$5:$E$504,$A$5:$A$504,A456))</f>
        <v/>
      </c>
      <c r="I456" s="29"/>
      <c r="J456" s="34"/>
      <c r="K456" s="35"/>
    </row>
    <row r="457" customFormat="false" ht="15" hidden="false" customHeight="false" outlineLevel="0" collapsed="false">
      <c r="A457" s="32"/>
      <c r="B457" s="29"/>
      <c r="C457" s="29"/>
      <c r="D457" s="25"/>
      <c r="E457" s="25"/>
      <c r="F457" s="18" t="str">
        <f aca="false">IF(AND(D457="",E457=""),"",'Danh mục'!$F$5+SUM($D$5:D457)-SUM($E$5:E457))</f>
        <v/>
      </c>
      <c r="G457" s="33" t="str">
        <f aca="false">IF(OR(A457="",AND(A457=A456)),"",SUMIFS($D$5:$D$504,$A$5:$A$504,A457))</f>
        <v/>
      </c>
      <c r="H457" s="33" t="str">
        <f aca="false">IF(OR(A457="",AND(A457=A456)),"",SUMIFS($E$5:$E$504,$A$5:$A$504,A457))</f>
        <v/>
      </c>
      <c r="I457" s="29"/>
      <c r="J457" s="34"/>
      <c r="K457" s="35"/>
    </row>
    <row r="458" customFormat="false" ht="15" hidden="false" customHeight="false" outlineLevel="0" collapsed="false">
      <c r="A458" s="32"/>
      <c r="B458" s="29"/>
      <c r="C458" s="29"/>
      <c r="D458" s="25"/>
      <c r="E458" s="25"/>
      <c r="F458" s="18" t="str">
        <f aca="false">IF(AND(D458="",E458=""),"",'Danh mục'!$F$5+SUM($D$5:D458)-SUM($E$5:E458))</f>
        <v/>
      </c>
      <c r="G458" s="33" t="str">
        <f aca="false">IF(OR(A458="",AND(A458=A457)),"",SUMIFS($D$5:$D$504,$A$5:$A$504,A458))</f>
        <v/>
      </c>
      <c r="H458" s="33" t="str">
        <f aca="false">IF(OR(A458="",AND(A458=A457)),"",SUMIFS($E$5:$E$504,$A$5:$A$504,A458))</f>
        <v/>
      </c>
      <c r="I458" s="29"/>
      <c r="J458" s="34"/>
      <c r="K458" s="35"/>
    </row>
    <row r="459" customFormat="false" ht="15" hidden="false" customHeight="false" outlineLevel="0" collapsed="false">
      <c r="A459" s="32"/>
      <c r="B459" s="29"/>
      <c r="C459" s="29"/>
      <c r="D459" s="25"/>
      <c r="E459" s="25"/>
      <c r="F459" s="18" t="str">
        <f aca="false">IF(AND(D459="",E459=""),"",'Danh mục'!$F$5+SUM($D$5:D459)-SUM($E$5:E459))</f>
        <v/>
      </c>
      <c r="G459" s="33" t="str">
        <f aca="false">IF(OR(A459="",AND(A459=A458)),"",SUMIFS($D$5:$D$504,$A$5:$A$504,A459))</f>
        <v/>
      </c>
      <c r="H459" s="33" t="str">
        <f aca="false">IF(OR(A459="",AND(A459=A458)),"",SUMIFS($E$5:$E$504,$A$5:$A$504,A459))</f>
        <v/>
      </c>
      <c r="I459" s="29"/>
      <c r="J459" s="34"/>
      <c r="K459" s="35"/>
    </row>
    <row r="460" customFormat="false" ht="15" hidden="false" customHeight="false" outlineLevel="0" collapsed="false">
      <c r="A460" s="32"/>
      <c r="B460" s="29"/>
      <c r="C460" s="29"/>
      <c r="D460" s="25"/>
      <c r="E460" s="25"/>
      <c r="F460" s="18" t="str">
        <f aca="false">IF(AND(D460="",E460=""),"",'Danh mục'!$F$5+SUM($D$5:D460)-SUM($E$5:E460))</f>
        <v/>
      </c>
      <c r="G460" s="33" t="str">
        <f aca="false">IF(OR(A460="",AND(A460=A459)),"",SUMIFS($D$5:$D$504,$A$5:$A$504,A460))</f>
        <v/>
      </c>
      <c r="H460" s="33" t="str">
        <f aca="false">IF(OR(A460="",AND(A460=A459)),"",SUMIFS($E$5:$E$504,$A$5:$A$504,A460))</f>
        <v/>
      </c>
      <c r="I460" s="29"/>
      <c r="J460" s="34"/>
      <c r="K460" s="35"/>
    </row>
    <row r="461" customFormat="false" ht="15" hidden="false" customHeight="false" outlineLevel="0" collapsed="false">
      <c r="A461" s="32"/>
      <c r="B461" s="29"/>
      <c r="C461" s="29"/>
      <c r="D461" s="25"/>
      <c r="E461" s="25"/>
      <c r="F461" s="18" t="str">
        <f aca="false">IF(AND(D461="",E461=""),"",'Danh mục'!$F$5+SUM($D$5:D461)-SUM($E$5:E461))</f>
        <v/>
      </c>
      <c r="G461" s="33" t="str">
        <f aca="false">IF(OR(A461="",AND(A461=A460)),"",SUMIFS($D$5:$D$504,$A$5:$A$504,A461))</f>
        <v/>
      </c>
      <c r="H461" s="33" t="str">
        <f aca="false">IF(OR(A461="",AND(A461=A460)),"",SUMIFS($E$5:$E$504,$A$5:$A$504,A461))</f>
        <v/>
      </c>
      <c r="I461" s="29"/>
      <c r="J461" s="34"/>
      <c r="K461" s="35"/>
    </row>
    <row r="462" customFormat="false" ht="15" hidden="false" customHeight="false" outlineLevel="0" collapsed="false">
      <c r="A462" s="32"/>
      <c r="B462" s="29"/>
      <c r="C462" s="29"/>
      <c r="D462" s="25"/>
      <c r="E462" s="25"/>
      <c r="F462" s="18" t="str">
        <f aca="false">IF(AND(D462="",E462=""),"",'Danh mục'!$F$5+SUM($D$5:D462)-SUM($E$5:E462))</f>
        <v/>
      </c>
      <c r="G462" s="33" t="str">
        <f aca="false">IF(OR(A462="",AND(A462=A461)),"",SUMIFS($D$5:$D$504,$A$5:$A$504,A462))</f>
        <v/>
      </c>
      <c r="H462" s="33" t="str">
        <f aca="false">IF(OR(A462="",AND(A462=A461)),"",SUMIFS($E$5:$E$504,$A$5:$A$504,A462))</f>
        <v/>
      </c>
      <c r="I462" s="29"/>
      <c r="J462" s="34"/>
      <c r="K462" s="35"/>
    </row>
    <row r="463" customFormat="false" ht="15" hidden="false" customHeight="false" outlineLevel="0" collapsed="false">
      <c r="A463" s="32"/>
      <c r="B463" s="29"/>
      <c r="C463" s="29"/>
      <c r="D463" s="25"/>
      <c r="E463" s="25"/>
      <c r="F463" s="18" t="str">
        <f aca="false">IF(AND(D463="",E463=""),"",'Danh mục'!$F$5+SUM($D$5:D463)-SUM($E$5:E463))</f>
        <v/>
      </c>
      <c r="G463" s="33" t="str">
        <f aca="false">IF(OR(A463="",AND(A463=A462)),"",SUMIFS($D$5:$D$504,$A$5:$A$504,A463))</f>
        <v/>
      </c>
      <c r="H463" s="33" t="str">
        <f aca="false">IF(OR(A463="",AND(A463=A462)),"",SUMIFS($E$5:$E$504,$A$5:$A$504,A463))</f>
        <v/>
      </c>
      <c r="I463" s="29"/>
      <c r="J463" s="34"/>
      <c r="K463" s="35"/>
    </row>
    <row r="464" customFormat="false" ht="15" hidden="false" customHeight="false" outlineLevel="0" collapsed="false">
      <c r="A464" s="32"/>
      <c r="B464" s="29"/>
      <c r="C464" s="29"/>
      <c r="D464" s="25"/>
      <c r="E464" s="25"/>
      <c r="F464" s="18" t="str">
        <f aca="false">IF(AND(D464="",E464=""),"",'Danh mục'!$F$5+SUM($D$5:D464)-SUM($E$5:E464))</f>
        <v/>
      </c>
      <c r="G464" s="33" t="str">
        <f aca="false">IF(OR(A464="",AND(A464=A463)),"",SUMIFS($D$5:$D$504,$A$5:$A$504,A464))</f>
        <v/>
      </c>
      <c r="H464" s="33" t="str">
        <f aca="false">IF(OR(A464="",AND(A464=A463)),"",SUMIFS($E$5:$E$504,$A$5:$A$504,A464))</f>
        <v/>
      </c>
      <c r="I464" s="29"/>
      <c r="J464" s="34"/>
      <c r="K464" s="35"/>
    </row>
    <row r="465" customFormat="false" ht="15" hidden="false" customHeight="false" outlineLevel="0" collapsed="false">
      <c r="A465" s="32"/>
      <c r="B465" s="29"/>
      <c r="C465" s="29"/>
      <c r="D465" s="25"/>
      <c r="E465" s="25"/>
      <c r="F465" s="18" t="str">
        <f aca="false">IF(AND(D465="",E465=""),"",'Danh mục'!$F$5+SUM($D$5:D465)-SUM($E$5:E465))</f>
        <v/>
      </c>
      <c r="G465" s="33" t="str">
        <f aca="false">IF(OR(A465="",AND(A465=A464)),"",SUMIFS($D$5:$D$504,$A$5:$A$504,A465))</f>
        <v/>
      </c>
      <c r="H465" s="33" t="str">
        <f aca="false">IF(OR(A465="",AND(A465=A464)),"",SUMIFS($E$5:$E$504,$A$5:$A$504,A465))</f>
        <v/>
      </c>
      <c r="I465" s="29"/>
      <c r="J465" s="34"/>
      <c r="K465" s="35"/>
    </row>
    <row r="466" customFormat="false" ht="15" hidden="false" customHeight="false" outlineLevel="0" collapsed="false">
      <c r="A466" s="32"/>
      <c r="B466" s="29"/>
      <c r="C466" s="29"/>
      <c r="D466" s="25"/>
      <c r="E466" s="25"/>
      <c r="F466" s="18" t="str">
        <f aca="false">IF(AND(D466="",E466=""),"",'Danh mục'!$F$5+SUM($D$5:D466)-SUM($E$5:E466))</f>
        <v/>
      </c>
      <c r="G466" s="33" t="str">
        <f aca="false">IF(OR(A466="",AND(A466=A465)),"",SUMIFS($D$5:$D$504,$A$5:$A$504,A466))</f>
        <v/>
      </c>
      <c r="H466" s="33" t="str">
        <f aca="false">IF(OR(A466="",AND(A466=A465)),"",SUMIFS($E$5:$E$504,$A$5:$A$504,A466))</f>
        <v/>
      </c>
      <c r="I466" s="29"/>
      <c r="J466" s="34"/>
      <c r="K466" s="35"/>
    </row>
    <row r="467" customFormat="false" ht="15" hidden="false" customHeight="false" outlineLevel="0" collapsed="false">
      <c r="A467" s="32"/>
      <c r="B467" s="29"/>
      <c r="C467" s="29"/>
      <c r="D467" s="25"/>
      <c r="E467" s="25"/>
      <c r="F467" s="18" t="str">
        <f aca="false">IF(AND(D467="",E467=""),"",'Danh mục'!$F$5+SUM($D$5:D467)-SUM($E$5:E467))</f>
        <v/>
      </c>
      <c r="G467" s="33" t="str">
        <f aca="false">IF(OR(A467="",AND(A467=A466)),"",SUMIFS($D$5:$D$504,$A$5:$A$504,A467))</f>
        <v/>
      </c>
      <c r="H467" s="33" t="str">
        <f aca="false">IF(OR(A467="",AND(A467=A466)),"",SUMIFS($E$5:$E$504,$A$5:$A$504,A467))</f>
        <v/>
      </c>
      <c r="I467" s="29"/>
      <c r="J467" s="34"/>
      <c r="K467" s="35"/>
    </row>
    <row r="468" customFormat="false" ht="15" hidden="false" customHeight="false" outlineLevel="0" collapsed="false">
      <c r="A468" s="32"/>
      <c r="B468" s="29"/>
      <c r="C468" s="29"/>
      <c r="D468" s="25"/>
      <c r="E468" s="25"/>
      <c r="F468" s="18" t="str">
        <f aca="false">IF(AND(D468="",E468=""),"",'Danh mục'!$F$5+SUM($D$5:D468)-SUM($E$5:E468))</f>
        <v/>
      </c>
      <c r="G468" s="33" t="str">
        <f aca="false">IF(OR(A468="",AND(A468=A467)),"",SUMIFS($D$5:$D$504,$A$5:$A$504,A468))</f>
        <v/>
      </c>
      <c r="H468" s="33" t="str">
        <f aca="false">IF(OR(A468="",AND(A468=A467)),"",SUMIFS($E$5:$E$504,$A$5:$A$504,A468))</f>
        <v/>
      </c>
      <c r="I468" s="29"/>
      <c r="J468" s="34"/>
      <c r="K468" s="35"/>
    </row>
    <row r="469" customFormat="false" ht="15" hidden="false" customHeight="false" outlineLevel="0" collapsed="false">
      <c r="A469" s="32"/>
      <c r="B469" s="29"/>
      <c r="C469" s="29"/>
      <c r="D469" s="25"/>
      <c r="E469" s="25"/>
      <c r="F469" s="18" t="str">
        <f aca="false">IF(AND(D469="",E469=""),"",'Danh mục'!$F$5+SUM($D$5:D469)-SUM($E$5:E469))</f>
        <v/>
      </c>
      <c r="G469" s="33" t="str">
        <f aca="false">IF(OR(A469="",AND(A469=A468)),"",SUMIFS($D$5:$D$504,$A$5:$A$504,A469))</f>
        <v/>
      </c>
      <c r="H469" s="33" t="str">
        <f aca="false">IF(OR(A469="",AND(A469=A468)),"",SUMIFS($E$5:$E$504,$A$5:$A$504,A469))</f>
        <v/>
      </c>
      <c r="I469" s="29"/>
      <c r="J469" s="34"/>
      <c r="K469" s="35"/>
    </row>
    <row r="470" customFormat="false" ht="15" hidden="false" customHeight="false" outlineLevel="0" collapsed="false">
      <c r="A470" s="32"/>
      <c r="B470" s="29"/>
      <c r="C470" s="29"/>
      <c r="D470" s="25"/>
      <c r="E470" s="25"/>
      <c r="F470" s="18" t="str">
        <f aca="false">IF(AND(D470="",E470=""),"",'Danh mục'!$F$5+SUM($D$5:D470)-SUM($E$5:E470))</f>
        <v/>
      </c>
      <c r="G470" s="33" t="str">
        <f aca="false">IF(OR(A470="",AND(A470=A469)),"",SUMIFS($D$5:$D$504,$A$5:$A$504,A470))</f>
        <v/>
      </c>
      <c r="H470" s="33" t="str">
        <f aca="false">IF(OR(A470="",AND(A470=A469)),"",SUMIFS($E$5:$E$504,$A$5:$A$504,A470))</f>
        <v/>
      </c>
      <c r="I470" s="29"/>
      <c r="J470" s="34"/>
      <c r="K470" s="35"/>
    </row>
    <row r="471" customFormat="false" ht="15" hidden="false" customHeight="false" outlineLevel="0" collapsed="false">
      <c r="A471" s="32"/>
      <c r="B471" s="29"/>
      <c r="C471" s="29"/>
      <c r="D471" s="25"/>
      <c r="E471" s="25"/>
      <c r="F471" s="18" t="str">
        <f aca="false">IF(AND(D471="",E471=""),"",'Danh mục'!$F$5+SUM($D$5:D471)-SUM($E$5:E471))</f>
        <v/>
      </c>
      <c r="G471" s="33" t="str">
        <f aca="false">IF(OR(A471="",AND(A471=A470)),"",SUMIFS($D$5:$D$504,$A$5:$A$504,A471))</f>
        <v/>
      </c>
      <c r="H471" s="33" t="str">
        <f aca="false">IF(OR(A471="",AND(A471=A470)),"",SUMIFS($E$5:$E$504,$A$5:$A$504,A471))</f>
        <v/>
      </c>
      <c r="I471" s="29"/>
      <c r="J471" s="34"/>
      <c r="K471" s="35"/>
    </row>
    <row r="472" customFormat="false" ht="15" hidden="false" customHeight="false" outlineLevel="0" collapsed="false">
      <c r="A472" s="32"/>
      <c r="B472" s="29"/>
      <c r="C472" s="29"/>
      <c r="D472" s="25"/>
      <c r="E472" s="25"/>
      <c r="F472" s="18" t="str">
        <f aca="false">IF(AND(D472="",E472=""),"",'Danh mục'!$F$5+SUM($D$5:D472)-SUM($E$5:E472))</f>
        <v/>
      </c>
      <c r="G472" s="33" t="str">
        <f aca="false">IF(OR(A472="",AND(A472=A471)),"",SUMIFS($D$5:$D$504,$A$5:$A$504,A472))</f>
        <v/>
      </c>
      <c r="H472" s="33" t="str">
        <f aca="false">IF(OR(A472="",AND(A472=A471)),"",SUMIFS($E$5:$E$504,$A$5:$A$504,A472))</f>
        <v/>
      </c>
      <c r="I472" s="29"/>
      <c r="J472" s="34"/>
      <c r="K472" s="35"/>
    </row>
    <row r="473" customFormat="false" ht="15" hidden="false" customHeight="false" outlineLevel="0" collapsed="false">
      <c r="A473" s="32"/>
      <c r="B473" s="29"/>
      <c r="C473" s="29"/>
      <c r="D473" s="25"/>
      <c r="E473" s="25"/>
      <c r="F473" s="18" t="str">
        <f aca="false">IF(AND(D473="",E473=""),"",'Danh mục'!$F$5+SUM($D$5:D473)-SUM($E$5:E473))</f>
        <v/>
      </c>
      <c r="G473" s="33" t="str">
        <f aca="false">IF(OR(A473="",AND(A473=A472)),"",SUMIFS($D$5:$D$504,$A$5:$A$504,A473))</f>
        <v/>
      </c>
      <c r="H473" s="33" t="str">
        <f aca="false">IF(OR(A473="",AND(A473=A472)),"",SUMIFS($E$5:$E$504,$A$5:$A$504,A473))</f>
        <v/>
      </c>
      <c r="I473" s="29"/>
      <c r="J473" s="34"/>
      <c r="K473" s="35"/>
    </row>
    <row r="474" customFormat="false" ht="15" hidden="false" customHeight="false" outlineLevel="0" collapsed="false">
      <c r="A474" s="32"/>
      <c r="B474" s="29"/>
      <c r="C474" s="29"/>
      <c r="D474" s="25"/>
      <c r="E474" s="25"/>
      <c r="F474" s="18" t="str">
        <f aca="false">IF(AND(D474="",E474=""),"",'Danh mục'!$F$5+SUM($D$5:D474)-SUM($E$5:E474))</f>
        <v/>
      </c>
      <c r="G474" s="33" t="str">
        <f aca="false">IF(OR(A474="",AND(A474=A473)),"",SUMIFS($D$5:$D$504,$A$5:$A$504,A474))</f>
        <v/>
      </c>
      <c r="H474" s="33" t="str">
        <f aca="false">IF(OR(A474="",AND(A474=A473)),"",SUMIFS($E$5:$E$504,$A$5:$A$504,A474))</f>
        <v/>
      </c>
      <c r="I474" s="29"/>
      <c r="J474" s="34"/>
      <c r="K474" s="35"/>
    </row>
    <row r="475" customFormat="false" ht="15" hidden="false" customHeight="false" outlineLevel="0" collapsed="false">
      <c r="A475" s="32"/>
      <c r="B475" s="29"/>
      <c r="C475" s="29"/>
      <c r="D475" s="25"/>
      <c r="E475" s="25"/>
      <c r="F475" s="18" t="str">
        <f aca="false">IF(AND(D475="",E475=""),"",'Danh mục'!$F$5+SUM($D$5:D475)-SUM($E$5:E475))</f>
        <v/>
      </c>
      <c r="G475" s="33" t="str">
        <f aca="false">IF(OR(A475="",AND(A475=A474)),"",SUMIFS($D$5:$D$504,$A$5:$A$504,A475))</f>
        <v/>
      </c>
      <c r="H475" s="33" t="str">
        <f aca="false">IF(OR(A475="",AND(A475=A474)),"",SUMIFS($E$5:$E$504,$A$5:$A$504,A475))</f>
        <v/>
      </c>
      <c r="I475" s="29"/>
      <c r="J475" s="34"/>
      <c r="K475" s="35"/>
    </row>
    <row r="476" customFormat="false" ht="15" hidden="false" customHeight="false" outlineLevel="0" collapsed="false">
      <c r="A476" s="32"/>
      <c r="B476" s="29"/>
      <c r="C476" s="29"/>
      <c r="D476" s="25"/>
      <c r="E476" s="25"/>
      <c r="F476" s="18" t="str">
        <f aca="false">IF(AND(D476="",E476=""),"",'Danh mục'!$F$5+SUM($D$5:D476)-SUM($E$5:E476))</f>
        <v/>
      </c>
      <c r="G476" s="33" t="str">
        <f aca="false">IF(OR(A476="",AND(A476=A475)),"",SUMIFS($D$5:$D$504,$A$5:$A$504,A476))</f>
        <v/>
      </c>
      <c r="H476" s="33" t="str">
        <f aca="false">IF(OR(A476="",AND(A476=A475)),"",SUMIFS($E$5:$E$504,$A$5:$A$504,A476))</f>
        <v/>
      </c>
      <c r="I476" s="29"/>
      <c r="J476" s="34"/>
      <c r="K476" s="35"/>
    </row>
    <row r="477" customFormat="false" ht="15" hidden="false" customHeight="false" outlineLevel="0" collapsed="false">
      <c r="A477" s="32"/>
      <c r="B477" s="29"/>
      <c r="C477" s="29"/>
      <c r="D477" s="25"/>
      <c r="E477" s="25"/>
      <c r="F477" s="18" t="str">
        <f aca="false">IF(AND(D477="",E477=""),"",'Danh mục'!$F$5+SUM($D$5:D477)-SUM($E$5:E477))</f>
        <v/>
      </c>
      <c r="G477" s="33" t="str">
        <f aca="false">IF(OR(A477="",AND(A477=A476)),"",SUMIFS($D$5:$D$504,$A$5:$A$504,A477))</f>
        <v/>
      </c>
      <c r="H477" s="33" t="str">
        <f aca="false">IF(OR(A477="",AND(A477=A476)),"",SUMIFS($E$5:$E$504,$A$5:$A$504,A477))</f>
        <v/>
      </c>
      <c r="I477" s="29"/>
      <c r="J477" s="34"/>
      <c r="K477" s="35"/>
    </row>
    <row r="478" customFormat="false" ht="15" hidden="false" customHeight="false" outlineLevel="0" collapsed="false">
      <c r="A478" s="32"/>
      <c r="B478" s="29"/>
      <c r="C478" s="29"/>
      <c r="D478" s="25"/>
      <c r="E478" s="25"/>
      <c r="F478" s="18" t="str">
        <f aca="false">IF(AND(D478="",E478=""),"",'Danh mục'!$F$5+SUM($D$5:D478)-SUM($E$5:E478))</f>
        <v/>
      </c>
      <c r="G478" s="33" t="str">
        <f aca="false">IF(OR(A478="",AND(A478=A477)),"",SUMIFS($D$5:$D$504,$A$5:$A$504,A478))</f>
        <v/>
      </c>
      <c r="H478" s="33" t="str">
        <f aca="false">IF(OR(A478="",AND(A478=A477)),"",SUMIFS($E$5:$E$504,$A$5:$A$504,A478))</f>
        <v/>
      </c>
      <c r="I478" s="29"/>
      <c r="J478" s="34"/>
      <c r="K478" s="35"/>
    </row>
    <row r="479" customFormat="false" ht="15" hidden="false" customHeight="false" outlineLevel="0" collapsed="false">
      <c r="A479" s="32"/>
      <c r="B479" s="29"/>
      <c r="C479" s="29"/>
      <c r="D479" s="25"/>
      <c r="E479" s="25"/>
      <c r="F479" s="18" t="str">
        <f aca="false">IF(AND(D479="",E479=""),"",'Danh mục'!$F$5+SUM($D$5:D479)-SUM($E$5:E479))</f>
        <v/>
      </c>
      <c r="G479" s="33" t="str">
        <f aca="false">IF(OR(A479="",AND(A479=A478)),"",SUMIFS($D$5:$D$504,$A$5:$A$504,A479))</f>
        <v/>
      </c>
      <c r="H479" s="33" t="str">
        <f aca="false">IF(OR(A479="",AND(A479=A478)),"",SUMIFS($E$5:$E$504,$A$5:$A$504,A479))</f>
        <v/>
      </c>
      <c r="I479" s="29"/>
      <c r="J479" s="34"/>
      <c r="K479" s="35"/>
    </row>
    <row r="480" customFormat="false" ht="15" hidden="false" customHeight="false" outlineLevel="0" collapsed="false">
      <c r="A480" s="32"/>
      <c r="B480" s="29"/>
      <c r="C480" s="29"/>
      <c r="D480" s="25"/>
      <c r="E480" s="25"/>
      <c r="F480" s="18" t="str">
        <f aca="false">IF(AND(D480="",E480=""),"",'Danh mục'!$F$5+SUM($D$5:D480)-SUM($E$5:E480))</f>
        <v/>
      </c>
      <c r="G480" s="33" t="str">
        <f aca="false">IF(OR(A480="",AND(A480=A479)),"",SUMIFS($D$5:$D$504,$A$5:$A$504,A480))</f>
        <v/>
      </c>
      <c r="H480" s="33" t="str">
        <f aca="false">IF(OR(A480="",AND(A480=A479)),"",SUMIFS($E$5:$E$504,$A$5:$A$504,A480))</f>
        <v/>
      </c>
      <c r="I480" s="29"/>
      <c r="J480" s="34"/>
      <c r="K480" s="35"/>
    </row>
    <row r="481" customFormat="false" ht="15" hidden="false" customHeight="false" outlineLevel="0" collapsed="false">
      <c r="A481" s="32"/>
      <c r="B481" s="29"/>
      <c r="C481" s="29"/>
      <c r="D481" s="25"/>
      <c r="E481" s="25"/>
      <c r="F481" s="18" t="str">
        <f aca="false">IF(AND(D481="",E481=""),"",'Danh mục'!$F$5+SUM($D$5:D481)-SUM($E$5:E481))</f>
        <v/>
      </c>
      <c r="G481" s="33" t="str">
        <f aca="false">IF(OR(A481="",AND(A481=A480)),"",SUMIFS($D$5:$D$504,$A$5:$A$504,A481))</f>
        <v/>
      </c>
      <c r="H481" s="33" t="str">
        <f aca="false">IF(OR(A481="",AND(A481=A480)),"",SUMIFS($E$5:$E$504,$A$5:$A$504,A481))</f>
        <v/>
      </c>
      <c r="I481" s="29"/>
      <c r="J481" s="34"/>
      <c r="K481" s="35"/>
    </row>
    <row r="482" customFormat="false" ht="15" hidden="false" customHeight="false" outlineLevel="0" collapsed="false">
      <c r="A482" s="32"/>
      <c r="B482" s="29"/>
      <c r="C482" s="29"/>
      <c r="D482" s="25"/>
      <c r="E482" s="25"/>
      <c r="F482" s="18" t="str">
        <f aca="false">IF(AND(D482="",E482=""),"",'Danh mục'!$F$5+SUM($D$5:D482)-SUM($E$5:E482))</f>
        <v/>
      </c>
      <c r="G482" s="33" t="str">
        <f aca="false">IF(OR(A482="",AND(A482=A481)),"",SUMIFS($D$5:$D$504,$A$5:$A$504,A482))</f>
        <v/>
      </c>
      <c r="H482" s="33" t="str">
        <f aca="false">IF(OR(A482="",AND(A482=A481)),"",SUMIFS($E$5:$E$504,$A$5:$A$504,A482))</f>
        <v/>
      </c>
      <c r="I482" s="29"/>
      <c r="J482" s="34"/>
      <c r="K482" s="35"/>
    </row>
    <row r="483" customFormat="false" ht="15" hidden="false" customHeight="false" outlineLevel="0" collapsed="false">
      <c r="A483" s="32"/>
      <c r="B483" s="29"/>
      <c r="C483" s="29"/>
      <c r="D483" s="25"/>
      <c r="E483" s="25"/>
      <c r="F483" s="18" t="str">
        <f aca="false">IF(AND(D483="",E483=""),"",'Danh mục'!$F$5+SUM($D$5:D483)-SUM($E$5:E483))</f>
        <v/>
      </c>
      <c r="G483" s="33" t="str">
        <f aca="false">IF(OR(A483="",AND(A483=A482)),"",SUMIFS($D$5:$D$504,$A$5:$A$504,A483))</f>
        <v/>
      </c>
      <c r="H483" s="33" t="str">
        <f aca="false">IF(OR(A483="",AND(A483=A482)),"",SUMIFS($E$5:$E$504,$A$5:$A$504,A483))</f>
        <v/>
      </c>
      <c r="I483" s="29"/>
      <c r="J483" s="34"/>
      <c r="K483" s="35"/>
    </row>
    <row r="484" customFormat="false" ht="15" hidden="false" customHeight="false" outlineLevel="0" collapsed="false">
      <c r="A484" s="32"/>
      <c r="B484" s="29"/>
      <c r="C484" s="29"/>
      <c r="D484" s="25"/>
      <c r="E484" s="25"/>
      <c r="F484" s="18" t="str">
        <f aca="false">IF(AND(D484="",E484=""),"",'Danh mục'!$F$5+SUM($D$5:D484)-SUM($E$5:E484))</f>
        <v/>
      </c>
      <c r="G484" s="33" t="str">
        <f aca="false">IF(OR(A484="",AND(A484=A483)),"",SUMIFS($D$5:$D$504,$A$5:$A$504,A484))</f>
        <v/>
      </c>
      <c r="H484" s="33" t="str">
        <f aca="false">IF(OR(A484="",AND(A484=A483)),"",SUMIFS($E$5:$E$504,$A$5:$A$504,A484))</f>
        <v/>
      </c>
      <c r="I484" s="29"/>
      <c r="J484" s="34"/>
      <c r="K484" s="35"/>
    </row>
    <row r="485" customFormat="false" ht="15" hidden="false" customHeight="false" outlineLevel="0" collapsed="false">
      <c r="A485" s="32"/>
      <c r="B485" s="29"/>
      <c r="C485" s="29"/>
      <c r="D485" s="25"/>
      <c r="E485" s="25"/>
      <c r="F485" s="18" t="str">
        <f aca="false">IF(AND(D485="",E485=""),"",'Danh mục'!$F$5+SUM($D$5:D485)-SUM($E$5:E485))</f>
        <v/>
      </c>
      <c r="G485" s="33" t="str">
        <f aca="false">IF(OR(A485="",AND(A485=A484)),"",SUMIFS($D$5:$D$504,$A$5:$A$504,A485))</f>
        <v/>
      </c>
      <c r="H485" s="33" t="str">
        <f aca="false">IF(OR(A485="",AND(A485=A484)),"",SUMIFS($E$5:$E$504,$A$5:$A$504,A485))</f>
        <v/>
      </c>
      <c r="I485" s="29"/>
      <c r="J485" s="34"/>
      <c r="K485" s="35"/>
    </row>
    <row r="486" customFormat="false" ht="15" hidden="false" customHeight="false" outlineLevel="0" collapsed="false">
      <c r="A486" s="32"/>
      <c r="B486" s="29"/>
      <c r="C486" s="29"/>
      <c r="D486" s="25"/>
      <c r="E486" s="25"/>
      <c r="F486" s="18" t="str">
        <f aca="false">IF(AND(D486="",E486=""),"",'Danh mục'!$F$5+SUM($D$5:D486)-SUM($E$5:E486))</f>
        <v/>
      </c>
      <c r="G486" s="33" t="str">
        <f aca="false">IF(OR(A486="",AND(A486=A485)),"",SUMIFS($D$5:$D$504,$A$5:$A$504,A486))</f>
        <v/>
      </c>
      <c r="H486" s="33" t="str">
        <f aca="false">IF(OR(A486="",AND(A486=A485)),"",SUMIFS($E$5:$E$504,$A$5:$A$504,A486))</f>
        <v/>
      </c>
      <c r="I486" s="29"/>
      <c r="J486" s="34"/>
      <c r="K486" s="35"/>
    </row>
    <row r="487" customFormat="false" ht="15" hidden="false" customHeight="false" outlineLevel="0" collapsed="false">
      <c r="A487" s="32"/>
      <c r="B487" s="29"/>
      <c r="C487" s="29"/>
      <c r="D487" s="25"/>
      <c r="E487" s="25"/>
      <c r="F487" s="18" t="str">
        <f aca="false">IF(AND(D487="",E487=""),"",'Danh mục'!$F$5+SUM($D$5:D487)-SUM($E$5:E487))</f>
        <v/>
      </c>
      <c r="G487" s="33" t="str">
        <f aca="false">IF(OR(A487="",AND(A487=A486)),"",SUMIFS($D$5:$D$504,$A$5:$A$504,A487))</f>
        <v/>
      </c>
      <c r="H487" s="33" t="str">
        <f aca="false">IF(OR(A487="",AND(A487=A486)),"",SUMIFS($E$5:$E$504,$A$5:$A$504,A487))</f>
        <v/>
      </c>
      <c r="I487" s="29"/>
      <c r="J487" s="34"/>
      <c r="K487" s="35"/>
    </row>
    <row r="488" customFormat="false" ht="15" hidden="false" customHeight="false" outlineLevel="0" collapsed="false">
      <c r="A488" s="32"/>
      <c r="B488" s="29"/>
      <c r="C488" s="29"/>
      <c r="D488" s="25"/>
      <c r="E488" s="25"/>
      <c r="F488" s="18" t="str">
        <f aca="false">IF(AND(D488="",E488=""),"",'Danh mục'!$F$5+SUM($D$5:D488)-SUM($E$5:E488))</f>
        <v/>
      </c>
      <c r="G488" s="33" t="str">
        <f aca="false">IF(OR(A488="",AND(A488=A487)),"",SUMIFS($D$5:$D$504,$A$5:$A$504,A488))</f>
        <v/>
      </c>
      <c r="H488" s="33" t="str">
        <f aca="false">IF(OR(A488="",AND(A488=A487)),"",SUMIFS($E$5:$E$504,$A$5:$A$504,A488))</f>
        <v/>
      </c>
      <c r="I488" s="29"/>
      <c r="J488" s="34"/>
      <c r="K488" s="35"/>
    </row>
    <row r="489" customFormat="false" ht="15" hidden="false" customHeight="false" outlineLevel="0" collapsed="false">
      <c r="A489" s="32"/>
      <c r="B489" s="29"/>
      <c r="C489" s="29"/>
      <c r="D489" s="25"/>
      <c r="E489" s="25"/>
      <c r="F489" s="18" t="str">
        <f aca="false">IF(AND(D489="",E489=""),"",'Danh mục'!$F$5+SUM($D$5:D489)-SUM($E$5:E489))</f>
        <v/>
      </c>
      <c r="G489" s="33" t="str">
        <f aca="false">IF(OR(A489="",AND(A489=A488)),"",SUMIFS($D$5:$D$504,$A$5:$A$504,A489))</f>
        <v/>
      </c>
      <c r="H489" s="33" t="str">
        <f aca="false">IF(OR(A489="",AND(A489=A488)),"",SUMIFS($E$5:$E$504,$A$5:$A$504,A489))</f>
        <v/>
      </c>
      <c r="I489" s="29"/>
      <c r="J489" s="34"/>
      <c r="K489" s="35"/>
    </row>
    <row r="490" customFormat="false" ht="15" hidden="false" customHeight="false" outlineLevel="0" collapsed="false">
      <c r="A490" s="32"/>
      <c r="B490" s="29"/>
      <c r="C490" s="29"/>
      <c r="D490" s="25"/>
      <c r="E490" s="25"/>
      <c r="F490" s="18" t="str">
        <f aca="false">IF(AND(D490="",E490=""),"",'Danh mục'!$F$5+SUM($D$5:D490)-SUM($E$5:E490))</f>
        <v/>
      </c>
      <c r="G490" s="33" t="str">
        <f aca="false">IF(OR(A490="",AND(A490=A489)),"",SUMIFS($D$5:$D$504,$A$5:$A$504,A490))</f>
        <v/>
      </c>
      <c r="H490" s="33" t="str">
        <f aca="false">IF(OR(A490="",AND(A490=A489)),"",SUMIFS($E$5:$E$504,$A$5:$A$504,A490))</f>
        <v/>
      </c>
      <c r="I490" s="29"/>
      <c r="J490" s="34"/>
      <c r="K490" s="35"/>
    </row>
    <row r="491" customFormat="false" ht="15" hidden="false" customHeight="false" outlineLevel="0" collapsed="false">
      <c r="A491" s="32"/>
      <c r="B491" s="29"/>
      <c r="C491" s="29"/>
      <c r="D491" s="25"/>
      <c r="E491" s="25"/>
      <c r="F491" s="18" t="str">
        <f aca="false">IF(AND(D491="",E491=""),"",'Danh mục'!$F$5+SUM($D$5:D491)-SUM($E$5:E491))</f>
        <v/>
      </c>
      <c r="G491" s="33" t="str">
        <f aca="false">IF(OR(A491="",AND(A491=A490)),"",SUMIFS($D$5:$D$504,$A$5:$A$504,A491))</f>
        <v/>
      </c>
      <c r="H491" s="33" t="str">
        <f aca="false">IF(OR(A491="",AND(A491=A490)),"",SUMIFS($E$5:$E$504,$A$5:$A$504,A491))</f>
        <v/>
      </c>
      <c r="I491" s="29"/>
      <c r="J491" s="34"/>
      <c r="K491" s="35"/>
    </row>
    <row r="492" customFormat="false" ht="15" hidden="false" customHeight="false" outlineLevel="0" collapsed="false">
      <c r="A492" s="32"/>
      <c r="B492" s="29"/>
      <c r="C492" s="29"/>
      <c r="D492" s="25"/>
      <c r="E492" s="25"/>
      <c r="F492" s="18" t="str">
        <f aca="false">IF(AND(D492="",E492=""),"",'Danh mục'!$F$5+SUM($D$5:D492)-SUM($E$5:E492))</f>
        <v/>
      </c>
      <c r="G492" s="33" t="str">
        <f aca="false">IF(OR(A492="",AND(A492=A491)),"",SUMIFS($D$5:$D$504,$A$5:$A$504,A492))</f>
        <v/>
      </c>
      <c r="H492" s="33" t="str">
        <f aca="false">IF(OR(A492="",AND(A492=A491)),"",SUMIFS($E$5:$E$504,$A$5:$A$504,A492))</f>
        <v/>
      </c>
      <c r="I492" s="29"/>
      <c r="J492" s="34"/>
      <c r="K492" s="35"/>
    </row>
    <row r="493" customFormat="false" ht="15" hidden="false" customHeight="false" outlineLevel="0" collapsed="false">
      <c r="A493" s="32"/>
      <c r="B493" s="29"/>
      <c r="C493" s="29"/>
      <c r="D493" s="25"/>
      <c r="E493" s="25"/>
      <c r="F493" s="18" t="str">
        <f aca="false">IF(AND(D493="",E493=""),"",'Danh mục'!$F$5+SUM($D$5:D493)-SUM($E$5:E493))</f>
        <v/>
      </c>
      <c r="G493" s="33" t="str">
        <f aca="false">IF(OR(A493="",AND(A493=A492)),"",SUMIFS($D$5:$D$504,$A$5:$A$504,A493))</f>
        <v/>
      </c>
      <c r="H493" s="33" t="str">
        <f aca="false">IF(OR(A493="",AND(A493=A492)),"",SUMIFS($E$5:$E$504,$A$5:$A$504,A493))</f>
        <v/>
      </c>
      <c r="I493" s="29"/>
      <c r="J493" s="34"/>
      <c r="K493" s="35"/>
    </row>
    <row r="494" customFormat="false" ht="15" hidden="false" customHeight="false" outlineLevel="0" collapsed="false">
      <c r="A494" s="32"/>
      <c r="B494" s="29"/>
      <c r="C494" s="29"/>
      <c r="D494" s="25"/>
      <c r="E494" s="25"/>
      <c r="F494" s="18" t="str">
        <f aca="false">IF(AND(D494="",E494=""),"",'Danh mục'!$F$5+SUM($D$5:D494)-SUM($E$5:E494))</f>
        <v/>
      </c>
      <c r="G494" s="33" t="str">
        <f aca="false">IF(OR(A494="",AND(A494=A493)),"",SUMIFS($D$5:$D$504,$A$5:$A$504,A494))</f>
        <v/>
      </c>
      <c r="H494" s="33" t="str">
        <f aca="false">IF(OR(A494="",AND(A494=A493)),"",SUMIFS($E$5:$E$504,$A$5:$A$504,A494))</f>
        <v/>
      </c>
      <c r="I494" s="29"/>
      <c r="J494" s="34"/>
      <c r="K494" s="35"/>
    </row>
    <row r="495" customFormat="false" ht="15" hidden="false" customHeight="false" outlineLevel="0" collapsed="false">
      <c r="A495" s="32"/>
      <c r="B495" s="29"/>
      <c r="C495" s="29"/>
      <c r="D495" s="25"/>
      <c r="E495" s="25"/>
      <c r="F495" s="18" t="str">
        <f aca="false">IF(AND(D495="",E495=""),"",'Danh mục'!$F$5+SUM($D$5:D495)-SUM($E$5:E495))</f>
        <v/>
      </c>
      <c r="G495" s="33" t="str">
        <f aca="false">IF(OR(A495="",AND(A495=A494)),"",SUMIFS($D$5:$D$504,$A$5:$A$504,A495))</f>
        <v/>
      </c>
      <c r="H495" s="33" t="str">
        <f aca="false">IF(OR(A495="",AND(A495=A494)),"",SUMIFS($E$5:$E$504,$A$5:$A$504,A495))</f>
        <v/>
      </c>
      <c r="I495" s="29"/>
      <c r="J495" s="34"/>
      <c r="K495" s="35"/>
    </row>
    <row r="496" customFormat="false" ht="15" hidden="false" customHeight="false" outlineLevel="0" collapsed="false">
      <c r="A496" s="32"/>
      <c r="B496" s="29"/>
      <c r="C496" s="29"/>
      <c r="D496" s="25"/>
      <c r="E496" s="25"/>
      <c r="F496" s="18" t="str">
        <f aca="false">IF(AND(D496="",E496=""),"",'Danh mục'!$F$5+SUM($D$5:D496)-SUM($E$5:E496))</f>
        <v/>
      </c>
      <c r="G496" s="33" t="str">
        <f aca="false">IF(OR(A496="",AND(A496=A495)),"",SUMIFS($D$5:$D$504,$A$5:$A$504,A496))</f>
        <v/>
      </c>
      <c r="H496" s="33" t="str">
        <f aca="false">IF(OR(A496="",AND(A496=A495)),"",SUMIFS($E$5:$E$504,$A$5:$A$504,A496))</f>
        <v/>
      </c>
      <c r="I496" s="29"/>
      <c r="J496" s="34"/>
      <c r="K496" s="35"/>
    </row>
    <row r="497" customFormat="false" ht="15" hidden="false" customHeight="false" outlineLevel="0" collapsed="false">
      <c r="A497" s="32"/>
      <c r="B497" s="29"/>
      <c r="C497" s="29"/>
      <c r="D497" s="25"/>
      <c r="E497" s="25"/>
      <c r="F497" s="18" t="str">
        <f aca="false">IF(AND(D497="",E497=""),"",'Danh mục'!$F$5+SUM($D$5:D497)-SUM($E$5:E497))</f>
        <v/>
      </c>
      <c r="G497" s="33" t="str">
        <f aca="false">IF(OR(A497="",AND(A497=A496)),"",SUMIFS($D$5:$D$504,$A$5:$A$504,A497))</f>
        <v/>
      </c>
      <c r="H497" s="33" t="str">
        <f aca="false">IF(OR(A497="",AND(A497=A496)),"",SUMIFS($E$5:$E$504,$A$5:$A$504,A497))</f>
        <v/>
      </c>
      <c r="I497" s="29"/>
      <c r="J497" s="34"/>
      <c r="K497" s="35"/>
    </row>
    <row r="498" customFormat="false" ht="15" hidden="false" customHeight="false" outlineLevel="0" collapsed="false">
      <c r="A498" s="32"/>
      <c r="B498" s="29"/>
      <c r="C498" s="29"/>
      <c r="D498" s="25"/>
      <c r="E498" s="25"/>
      <c r="F498" s="18" t="str">
        <f aca="false">IF(AND(D498="",E498=""),"",'Danh mục'!$F$5+SUM($D$5:D498)-SUM($E$5:E498))</f>
        <v/>
      </c>
      <c r="G498" s="33" t="str">
        <f aca="false">IF(OR(A498="",AND(A498=A497)),"",SUMIFS($D$5:$D$504,$A$5:$A$504,A498))</f>
        <v/>
      </c>
      <c r="H498" s="33" t="str">
        <f aca="false">IF(OR(A498="",AND(A498=A497)),"",SUMIFS($E$5:$E$504,$A$5:$A$504,A498))</f>
        <v/>
      </c>
      <c r="I498" s="29"/>
      <c r="J498" s="34"/>
      <c r="K498" s="35"/>
    </row>
    <row r="499" customFormat="false" ht="15" hidden="false" customHeight="false" outlineLevel="0" collapsed="false">
      <c r="A499" s="32"/>
      <c r="B499" s="29"/>
      <c r="C499" s="29"/>
      <c r="D499" s="25"/>
      <c r="E499" s="25"/>
      <c r="F499" s="18" t="str">
        <f aca="false">IF(AND(D499="",E499=""),"",'Danh mục'!$F$5+SUM($D$5:D499)-SUM($E$5:E499))</f>
        <v/>
      </c>
      <c r="G499" s="33" t="str">
        <f aca="false">IF(OR(A499="",AND(A499=A498)),"",SUMIFS($D$5:$D$504,$A$5:$A$504,A499))</f>
        <v/>
      </c>
      <c r="H499" s="33" t="str">
        <f aca="false">IF(OR(A499="",AND(A499=A498)),"",SUMIFS($E$5:$E$504,$A$5:$A$504,A499))</f>
        <v/>
      </c>
      <c r="I499" s="29"/>
      <c r="J499" s="34"/>
      <c r="K499" s="35"/>
    </row>
    <row r="500" customFormat="false" ht="15" hidden="false" customHeight="false" outlineLevel="0" collapsed="false">
      <c r="A500" s="32"/>
      <c r="B500" s="29"/>
      <c r="C500" s="29"/>
      <c r="D500" s="25"/>
      <c r="E500" s="25"/>
      <c r="F500" s="18" t="str">
        <f aca="false">IF(AND(D500="",E500=""),"",'Danh mục'!$F$5+SUM($D$5:D500)-SUM($E$5:E500))</f>
        <v/>
      </c>
      <c r="G500" s="33" t="str">
        <f aca="false">IF(OR(A500="",AND(A500=A499)),"",SUMIFS($D$5:$D$504,$A$5:$A$504,A500))</f>
        <v/>
      </c>
      <c r="H500" s="33" t="str">
        <f aca="false">IF(OR(A500="",AND(A500=A499)),"",SUMIFS($E$5:$E$504,$A$5:$A$504,A500))</f>
        <v/>
      </c>
      <c r="I500" s="29"/>
      <c r="J500" s="34"/>
      <c r="K500" s="35"/>
    </row>
    <row r="501" customFormat="false" ht="15" hidden="false" customHeight="false" outlineLevel="0" collapsed="false">
      <c r="A501" s="32"/>
      <c r="B501" s="29"/>
      <c r="C501" s="29"/>
      <c r="D501" s="25"/>
      <c r="E501" s="25"/>
      <c r="F501" s="18" t="str">
        <f aca="false">IF(AND(D501="",E501=""),"",'Danh mục'!$F$5+SUM($D$5:D501)-SUM($E$5:E501))</f>
        <v/>
      </c>
      <c r="G501" s="33" t="str">
        <f aca="false">IF(OR(A501="",AND(A501=A500)),"",SUMIFS($D$5:$D$504,$A$5:$A$504,A501))</f>
        <v/>
      </c>
      <c r="H501" s="33" t="str">
        <f aca="false">IF(OR(A501="",AND(A501=A500)),"",SUMIFS($E$5:$E$504,$A$5:$A$504,A501))</f>
        <v/>
      </c>
      <c r="I501" s="29"/>
      <c r="J501" s="34"/>
      <c r="K501" s="35"/>
    </row>
    <row r="502" customFormat="false" ht="15" hidden="false" customHeight="false" outlineLevel="0" collapsed="false">
      <c r="A502" s="32"/>
      <c r="B502" s="29"/>
      <c r="C502" s="29"/>
      <c r="D502" s="25"/>
      <c r="E502" s="25"/>
      <c r="F502" s="18" t="str">
        <f aca="false">IF(AND(D502="",E502=""),"",'Danh mục'!$F$5+SUM($D$5:D502)-SUM($E$5:E502))</f>
        <v/>
      </c>
      <c r="G502" s="33" t="str">
        <f aca="false">IF(OR(A502="",AND(A502=A501)),"",SUMIFS($D$5:$D$504,$A$5:$A$504,A502))</f>
        <v/>
      </c>
      <c r="H502" s="33" t="str">
        <f aca="false">IF(OR(A502="",AND(A502=A501)),"",SUMIFS($E$5:$E$504,$A$5:$A$504,A502))</f>
        <v/>
      </c>
      <c r="I502" s="29"/>
      <c r="J502" s="34"/>
      <c r="K502" s="35"/>
    </row>
    <row r="503" customFormat="false" ht="15" hidden="false" customHeight="false" outlineLevel="0" collapsed="false">
      <c r="A503" s="32"/>
      <c r="B503" s="29"/>
      <c r="C503" s="29"/>
      <c r="D503" s="25"/>
      <c r="E503" s="25"/>
      <c r="F503" s="18" t="str">
        <f aca="false">IF(AND(D503="",E503=""),"",'Danh mục'!$F$5+SUM($D$5:D503)-SUM($E$5:E503))</f>
        <v/>
      </c>
      <c r="G503" s="33" t="str">
        <f aca="false">IF(OR(A503="",AND(A503=A502)),"",SUMIFS($D$5:$D$504,$A$5:$A$504,A503))</f>
        <v/>
      </c>
      <c r="H503" s="33" t="str">
        <f aca="false">IF(OR(A503="",AND(A503=A502)),"",SUMIFS($E$5:$E$504,$A$5:$A$504,A503))</f>
        <v/>
      </c>
      <c r="I503" s="29"/>
      <c r="J503" s="34"/>
      <c r="K503" s="35"/>
    </row>
    <row r="504" customFormat="false" ht="15" hidden="false" customHeight="false" outlineLevel="0" collapsed="false">
      <c r="A504" s="32"/>
      <c r="B504" s="29"/>
      <c r="C504" s="29"/>
      <c r="D504" s="25"/>
      <c r="E504" s="25"/>
      <c r="F504" s="18" t="str">
        <f aca="false">IF(AND(D504="",E504=""),"",'Danh mục'!$F$5+SUM($D$5:D504)-SUM($E$5:E504))</f>
        <v/>
      </c>
      <c r="G504" s="33" t="str">
        <f aca="false">IF(OR(A504="",AND(A504=A503)),"",SUMIFS($D$5:$D$504,$A$5:$A$504,A504))</f>
        <v/>
      </c>
      <c r="H504" s="33" t="str">
        <f aca="false">IF(OR(A504="",AND(A504=A503)),"",SUMIFS($E$5:$E$504,$A$5:$A$504,A504))</f>
        <v/>
      </c>
      <c r="I504" s="29"/>
      <c r="J504" s="34"/>
      <c r="K504" s="35"/>
    </row>
  </sheetData>
  <autoFilter ref="A4:K504"/>
  <mergeCells count="10">
    <mergeCell ref="G5:G10"/>
    <mergeCell ref="H5:H10"/>
    <mergeCell ref="G11:G16"/>
    <mergeCell ref="H11:H16"/>
    <mergeCell ref="G17:G23"/>
    <mergeCell ref="H17:H23"/>
    <mergeCell ref="G24:G27"/>
    <mergeCell ref="H24:H27"/>
    <mergeCell ref="G28:G30"/>
    <mergeCell ref="H28:H30"/>
  </mergeCells>
  <dataValidations count="2">
    <dataValidation allowBlank="true" errorStyle="stop" operator="between" showDropDown="false" showErrorMessage="false" showInputMessage="false" sqref="C5:C504" type="list">
      <formula1>'Danh mục'!$B$5:$B$30</formula1>
      <formula2>0</formula2>
    </dataValidation>
    <dataValidation allowBlank="true" errorStyle="stop" operator="between" showDropDown="false" showErrorMessage="false" showInputMessage="false" sqref="B5:B504" type="list">
      <formula1>'Danh mục'!$C$5:$C$40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145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146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1.5" hidden="false" customHeight="true" outlineLevel="0" collapsed="false">
      <c r="A4" s="31" t="s">
        <v>59</v>
      </c>
      <c r="B4" s="31" t="s">
        <v>49</v>
      </c>
      <c r="C4" s="31" t="s">
        <v>147</v>
      </c>
      <c r="D4" s="31" t="s">
        <v>50</v>
      </c>
      <c r="E4" s="31" t="s">
        <v>51</v>
      </c>
      <c r="F4" s="31" t="s">
        <v>52</v>
      </c>
      <c r="G4" s="31" t="s">
        <v>148</v>
      </c>
      <c r="H4" s="31" t="s">
        <v>149</v>
      </c>
      <c r="I4" s="31" t="s">
        <v>98</v>
      </c>
      <c r="J4" s="31" t="s">
        <v>99</v>
      </c>
    </row>
    <row r="5" customFormat="false" ht="15" hidden="false" customHeight="false" outlineLevel="0" collapsed="false">
      <c r="A5" s="32" t="n">
        <v>46296</v>
      </c>
      <c r="B5" s="29" t="s">
        <v>72</v>
      </c>
      <c r="C5" s="29" t="s">
        <v>150</v>
      </c>
      <c r="D5" s="25" t="n">
        <v>50</v>
      </c>
      <c r="E5" s="25"/>
      <c r="F5" s="25"/>
      <c r="G5" s="33" t="n">
        <f aca="false">SUMIFS($D$5:$D$504,$A$5:$A$504,A5,$B$5:$B$504,B5)+SUMIFS($E$5:$E$504,$A$5:$A$504,A5,$B$5:$B$504,B5)-SUMIFS($F$5:$F$504,$A$5:$A$504,A5,$B$5:$B$504,B5)</f>
        <v>34142</v>
      </c>
      <c r="H5" s="33" t="n">
        <f aca="false">SUMIFS($F$5:$F$504,$A$5:$A$504,A5,$B$5:$B$504,B5)</f>
        <v>408</v>
      </c>
      <c r="I5" s="34" t="s">
        <v>151</v>
      </c>
      <c r="J5" s="35"/>
    </row>
    <row r="6" customFormat="false" ht="15" hidden="false" customHeight="false" outlineLevel="0" collapsed="false">
      <c r="A6" s="32" t="n">
        <v>46296</v>
      </c>
      <c r="B6" s="29" t="s">
        <v>72</v>
      </c>
      <c r="C6" s="29" t="s">
        <v>152</v>
      </c>
      <c r="D6" s="25" t="n">
        <v>5000</v>
      </c>
      <c r="E6" s="25" t="n">
        <v>15000</v>
      </c>
      <c r="F6" s="25"/>
      <c r="G6" s="33"/>
      <c r="H6" s="33"/>
      <c r="I6" s="34" t="s">
        <v>153</v>
      </c>
      <c r="J6" s="35"/>
    </row>
    <row r="7" customFormat="false" ht="15" hidden="false" customHeight="false" outlineLevel="0" collapsed="false">
      <c r="A7" s="32" t="n">
        <v>46296</v>
      </c>
      <c r="B7" s="29" t="s">
        <v>72</v>
      </c>
      <c r="C7" s="29" t="s">
        <v>154</v>
      </c>
      <c r="D7" s="25" t="n">
        <v>3000</v>
      </c>
      <c r="E7" s="25"/>
      <c r="F7" s="25"/>
      <c r="G7" s="33"/>
      <c r="H7" s="33"/>
      <c r="I7" s="34" t="s">
        <v>155</v>
      </c>
      <c r="J7" s="35"/>
    </row>
    <row r="8" customFormat="false" ht="15" hidden="false" customHeight="false" outlineLevel="0" collapsed="false">
      <c r="A8" s="32" t="n">
        <v>46296</v>
      </c>
      <c r="B8" s="29" t="s">
        <v>72</v>
      </c>
      <c r="C8" s="29" t="s">
        <v>156</v>
      </c>
      <c r="D8" s="25" t="n">
        <v>50</v>
      </c>
      <c r="E8" s="25"/>
      <c r="F8" s="25" t="n">
        <v>307</v>
      </c>
      <c r="G8" s="33"/>
      <c r="H8" s="33"/>
      <c r="I8" s="34" t="s">
        <v>157</v>
      </c>
      <c r="J8" s="35"/>
    </row>
    <row r="9" customFormat="false" ht="15" hidden="false" customHeight="false" outlineLevel="0" collapsed="false">
      <c r="A9" s="32" t="n">
        <v>46296</v>
      </c>
      <c r="B9" s="29" t="s">
        <v>72</v>
      </c>
      <c r="C9" s="29" t="s">
        <v>158</v>
      </c>
      <c r="D9" s="25" t="n">
        <v>5000</v>
      </c>
      <c r="E9" s="25" t="n">
        <v>5000</v>
      </c>
      <c r="F9" s="25"/>
      <c r="G9" s="33"/>
      <c r="H9" s="33"/>
      <c r="I9" s="34" t="s">
        <v>159</v>
      </c>
      <c r="J9" s="35"/>
    </row>
    <row r="10" customFormat="false" ht="15" hidden="false" customHeight="false" outlineLevel="0" collapsed="false">
      <c r="A10" s="32" t="n">
        <v>46296</v>
      </c>
      <c r="B10" s="29" t="s">
        <v>72</v>
      </c>
      <c r="C10" s="29" t="s">
        <v>160</v>
      </c>
      <c r="D10" s="25" t="n">
        <v>100</v>
      </c>
      <c r="E10" s="25"/>
      <c r="F10" s="25" t="n">
        <v>101</v>
      </c>
      <c r="G10" s="33"/>
      <c r="H10" s="33"/>
      <c r="I10" s="34" t="s">
        <v>161</v>
      </c>
      <c r="J10" s="35"/>
    </row>
    <row r="11" customFormat="false" ht="15" hidden="false" customHeight="false" outlineLevel="0" collapsed="false">
      <c r="A11" s="32" t="n">
        <v>46296</v>
      </c>
      <c r="B11" s="29" t="s">
        <v>72</v>
      </c>
      <c r="C11" s="29" t="s">
        <v>162</v>
      </c>
      <c r="D11" s="25" t="n">
        <v>1000</v>
      </c>
      <c r="E11" s="25"/>
      <c r="F11" s="25"/>
      <c r="G11" s="33"/>
      <c r="H11" s="33"/>
      <c r="I11" s="34" t="s">
        <v>163</v>
      </c>
      <c r="J11" s="35"/>
    </row>
    <row r="12" customFormat="false" ht="15" hidden="false" customHeight="false" outlineLevel="0" collapsed="false">
      <c r="A12" s="32" t="n">
        <v>46296</v>
      </c>
      <c r="B12" s="29" t="s">
        <v>72</v>
      </c>
      <c r="C12" s="29" t="s">
        <v>164</v>
      </c>
      <c r="D12" s="25" t="n">
        <v>150</v>
      </c>
      <c r="E12" s="25"/>
      <c r="F12" s="25"/>
      <c r="G12" s="33"/>
      <c r="H12" s="33"/>
      <c r="I12" s="34" t="s">
        <v>165</v>
      </c>
      <c r="J12" s="35"/>
    </row>
    <row r="13" customFormat="false" ht="15" hidden="false" customHeight="false" outlineLevel="0" collapsed="false">
      <c r="A13" s="32" t="n">
        <v>46296</v>
      </c>
      <c r="B13" s="29" t="s">
        <v>72</v>
      </c>
      <c r="C13" s="29" t="s">
        <v>166</v>
      </c>
      <c r="D13" s="25" t="n">
        <v>200</v>
      </c>
      <c r="E13" s="25"/>
      <c r="F13" s="25"/>
      <c r="G13" s="33"/>
      <c r="H13" s="33"/>
      <c r="I13" s="34" t="s">
        <v>167</v>
      </c>
      <c r="J13" s="35"/>
    </row>
    <row r="14" customFormat="false" ht="15" hidden="false" customHeight="false" outlineLevel="0" collapsed="false">
      <c r="A14" s="36" t="n">
        <v>46297</v>
      </c>
      <c r="B14" s="37" t="s">
        <v>72</v>
      </c>
      <c r="C14" s="37" t="s">
        <v>164</v>
      </c>
      <c r="D14" s="38" t="n">
        <v>100</v>
      </c>
      <c r="E14" s="38"/>
      <c r="F14" s="38" t="n">
        <v>206</v>
      </c>
      <c r="G14" s="40" t="n">
        <f aca="false">SUMIFS($D$5:$D$504,$A$5:$A$504,A14,$B$5:$B$504,B14)+SUMIFS($E$5:$E$504,$A$5:$A$504,A14,$B$5:$B$504,B14)-SUMIFS($F$5:$F$504,$A$5:$A$504,A14,$B$5:$B$504,B14)</f>
        <v>18689</v>
      </c>
      <c r="H14" s="40" t="n">
        <f aca="false">SUMIFS($F$5:$F$504,$A$5:$A$504,A14,$B$5:$B$504,B14)</f>
        <v>1161</v>
      </c>
      <c r="I14" s="41" t="s">
        <v>168</v>
      </c>
      <c r="J14" s="42"/>
    </row>
    <row r="15" customFormat="false" ht="15" hidden="false" customHeight="false" outlineLevel="0" collapsed="false">
      <c r="A15" s="32" t="n">
        <v>46297</v>
      </c>
      <c r="B15" s="29" t="s">
        <v>72</v>
      </c>
      <c r="C15" s="29" t="s">
        <v>160</v>
      </c>
      <c r="D15" s="25" t="n">
        <v>200</v>
      </c>
      <c r="E15" s="25"/>
      <c r="F15" s="25"/>
      <c r="G15" s="40"/>
      <c r="H15" s="40"/>
      <c r="I15" s="34" t="s">
        <v>169</v>
      </c>
      <c r="J15" s="35"/>
    </row>
    <row r="16" customFormat="false" ht="15" hidden="false" customHeight="false" outlineLevel="0" collapsed="false">
      <c r="A16" s="32" t="n">
        <v>46297</v>
      </c>
      <c r="B16" s="29" t="s">
        <v>72</v>
      </c>
      <c r="C16" s="29" t="s">
        <v>164</v>
      </c>
      <c r="D16" s="25" t="n">
        <v>100</v>
      </c>
      <c r="E16" s="25"/>
      <c r="F16" s="25"/>
      <c r="G16" s="40"/>
      <c r="H16" s="40"/>
      <c r="I16" s="34" t="s">
        <v>170</v>
      </c>
      <c r="J16" s="35"/>
    </row>
    <row r="17" customFormat="false" ht="15" hidden="false" customHeight="false" outlineLevel="0" collapsed="false">
      <c r="A17" s="32" t="n">
        <v>46297</v>
      </c>
      <c r="B17" s="29" t="s">
        <v>72</v>
      </c>
      <c r="C17" s="29" t="s">
        <v>166</v>
      </c>
      <c r="D17" s="25" t="n">
        <v>150</v>
      </c>
      <c r="E17" s="25"/>
      <c r="F17" s="25" t="n">
        <v>955</v>
      </c>
      <c r="G17" s="40"/>
      <c r="H17" s="40"/>
      <c r="I17" s="34" t="s">
        <v>171</v>
      </c>
      <c r="J17" s="35"/>
    </row>
    <row r="18" customFormat="false" ht="15" hidden="false" customHeight="false" outlineLevel="0" collapsed="false">
      <c r="A18" s="32" t="n">
        <v>46297</v>
      </c>
      <c r="B18" s="29" t="s">
        <v>72</v>
      </c>
      <c r="C18" s="29" t="s">
        <v>172</v>
      </c>
      <c r="D18" s="25" t="n">
        <v>3000</v>
      </c>
      <c r="E18" s="25" t="n">
        <v>6000</v>
      </c>
      <c r="F18" s="25"/>
      <c r="G18" s="40"/>
      <c r="H18" s="40"/>
      <c r="I18" s="34" t="s">
        <v>173</v>
      </c>
      <c r="J18" s="35"/>
    </row>
    <row r="19" customFormat="false" ht="15" hidden="false" customHeight="false" outlineLevel="0" collapsed="false">
      <c r="A19" s="32" t="n">
        <v>46297</v>
      </c>
      <c r="B19" s="29" t="s">
        <v>72</v>
      </c>
      <c r="C19" s="29" t="s">
        <v>174</v>
      </c>
      <c r="D19" s="25" t="n">
        <v>300</v>
      </c>
      <c r="E19" s="25" t="n">
        <v>10000</v>
      </c>
      <c r="F19" s="25"/>
      <c r="G19" s="40"/>
      <c r="H19" s="40"/>
      <c r="I19" s="34" t="s">
        <v>175</v>
      </c>
      <c r="J19" s="35"/>
    </row>
    <row r="20" customFormat="false" ht="15" hidden="false" customHeight="false" outlineLevel="0" collapsed="false">
      <c r="A20" s="36" t="n">
        <v>46298</v>
      </c>
      <c r="B20" s="37" t="s">
        <v>72</v>
      </c>
      <c r="C20" s="37" t="s">
        <v>176</v>
      </c>
      <c r="D20" s="38" t="n">
        <v>3000</v>
      </c>
      <c r="E20" s="38" t="n">
        <v>6000</v>
      </c>
      <c r="F20" s="38"/>
      <c r="G20" s="40" t="n">
        <f aca="false">SUMIFS($D$5:$D$504,$A$5:$A$504,A20,$B$5:$B$504,B20)+SUMIFS($E$5:$E$504,$A$5:$A$504,A20,$B$5:$B$504,B20)-SUMIFS($F$5:$F$504,$A$5:$A$504,A20,$B$5:$B$504,B20)</f>
        <v>9250</v>
      </c>
      <c r="H20" s="40" t="n">
        <f aca="false">SUMIFS($F$5:$F$504,$A$5:$A$504,A20,$B$5:$B$504,B20)</f>
        <v>0</v>
      </c>
      <c r="I20" s="41" t="s">
        <v>177</v>
      </c>
      <c r="J20" s="42"/>
    </row>
    <row r="21" customFormat="false" ht="15" hidden="false" customHeight="false" outlineLevel="0" collapsed="false">
      <c r="A21" s="32" t="n">
        <v>46298</v>
      </c>
      <c r="B21" s="29" t="s">
        <v>72</v>
      </c>
      <c r="C21" s="29" t="s">
        <v>166</v>
      </c>
      <c r="D21" s="25" t="n">
        <v>250</v>
      </c>
      <c r="E21" s="25"/>
      <c r="F21" s="25"/>
      <c r="G21" s="40"/>
      <c r="H21" s="40"/>
      <c r="I21" s="34" t="s">
        <v>178</v>
      </c>
      <c r="J21" s="35"/>
    </row>
    <row r="22" customFormat="false" ht="15" hidden="false" customHeight="false" outlineLevel="0" collapsed="false">
      <c r="A22" s="36" t="n">
        <v>46299</v>
      </c>
      <c r="B22" s="37" t="s">
        <v>72</v>
      </c>
      <c r="C22" s="37" t="s">
        <v>174</v>
      </c>
      <c r="D22" s="38"/>
      <c r="E22" s="38" t="n">
        <v>10000</v>
      </c>
      <c r="F22" s="38"/>
      <c r="G22" s="40" t="n">
        <f aca="false">SUMIFS($D$5:$D$504,$A$5:$A$504,A22,$B$5:$B$504,B22)+SUMIFS($E$5:$E$504,$A$5:$A$504,A22,$B$5:$B$504,B22)-SUMIFS($F$5:$F$504,$A$5:$A$504,A22,$B$5:$B$504,B22)</f>
        <v>10000</v>
      </c>
      <c r="H22" s="40" t="n">
        <f aca="false">SUMIFS($F$5:$F$504,$A$5:$A$504,A22,$B$5:$B$504,B22)</f>
        <v>0</v>
      </c>
      <c r="I22" s="41" t="s">
        <v>179</v>
      </c>
      <c r="J22" s="42"/>
    </row>
    <row r="23" customFormat="false" ht="15" hidden="false" customHeight="false" outlineLevel="0" collapsed="false">
      <c r="A23" s="36" t="n">
        <v>46300</v>
      </c>
      <c r="B23" s="37" t="s">
        <v>72</v>
      </c>
      <c r="C23" s="37" t="s">
        <v>150</v>
      </c>
      <c r="D23" s="38" t="n">
        <v>50</v>
      </c>
      <c r="E23" s="38"/>
      <c r="F23" s="38" t="n">
        <v>700</v>
      </c>
      <c r="G23" s="40" t="n">
        <f aca="false">SUMIFS($D$5:$D$504,$A$5:$A$504,A23,$B$5:$B$504,B23)+SUMIFS($E$5:$E$504,$A$5:$A$504,A23,$B$5:$B$504,B23)-SUMIFS($F$5:$F$504,$A$5:$A$504,A23,$B$5:$B$504,B23)</f>
        <v>-650</v>
      </c>
      <c r="H23" s="40" t="n">
        <f aca="false">SUMIFS($F$5:$F$504,$A$5:$A$504,A23,$B$5:$B$504,B23)</f>
        <v>700</v>
      </c>
      <c r="I23" s="41" t="s">
        <v>180</v>
      </c>
      <c r="J23" s="42" t="s">
        <v>181</v>
      </c>
    </row>
    <row r="24" customFormat="false" ht="15" hidden="false" customHeight="false" outlineLevel="0" collapsed="false">
      <c r="A24" s="36" t="n">
        <v>46296</v>
      </c>
      <c r="B24" s="37" t="s">
        <v>76</v>
      </c>
      <c r="C24" s="37" t="s">
        <v>182</v>
      </c>
      <c r="D24" s="38" t="n">
        <v>200</v>
      </c>
      <c r="E24" s="38"/>
      <c r="F24" s="38" t="n">
        <v>100</v>
      </c>
      <c r="G24" s="40" t="n">
        <f aca="false">SUMIFS($D$5:$D$504,$A$5:$A$504,A24,$B$5:$B$504,B24)+SUMIFS($E$5:$E$504,$A$5:$A$504,A24,$B$5:$B$504,B24)-SUMIFS($F$5:$F$504,$A$5:$A$504,A24,$B$5:$B$504,B24)</f>
        <v>8000</v>
      </c>
      <c r="H24" s="40" t="n">
        <f aca="false">SUMIFS($F$5:$F$504,$A$5:$A$504,A24,$B$5:$B$504,B24)</f>
        <v>200</v>
      </c>
      <c r="I24" s="41" t="s">
        <v>183</v>
      </c>
      <c r="J24" s="42" t="s">
        <v>184</v>
      </c>
    </row>
    <row r="25" customFormat="false" ht="15" hidden="false" customHeight="false" outlineLevel="0" collapsed="false">
      <c r="A25" s="32" t="n">
        <v>46296</v>
      </c>
      <c r="B25" s="29" t="s">
        <v>76</v>
      </c>
      <c r="C25" s="29" t="s">
        <v>185</v>
      </c>
      <c r="D25" s="25" t="n">
        <v>3000</v>
      </c>
      <c r="E25" s="25"/>
      <c r="F25" s="25"/>
      <c r="G25" s="40"/>
      <c r="H25" s="40"/>
      <c r="I25" s="34" t="s">
        <v>186</v>
      </c>
      <c r="J25" s="35"/>
    </row>
    <row r="26" customFormat="false" ht="15" hidden="false" customHeight="false" outlineLevel="0" collapsed="false">
      <c r="A26" s="32" t="n">
        <v>46296</v>
      </c>
      <c r="B26" s="29" t="s">
        <v>76</v>
      </c>
      <c r="C26" s="29" t="s">
        <v>187</v>
      </c>
      <c r="D26" s="25" t="n">
        <v>1000</v>
      </c>
      <c r="E26" s="25"/>
      <c r="F26" s="25"/>
      <c r="G26" s="40"/>
      <c r="H26" s="40"/>
      <c r="I26" s="34" t="s">
        <v>188</v>
      </c>
      <c r="J26" s="35"/>
    </row>
    <row r="27" customFormat="false" ht="15" hidden="false" customHeight="false" outlineLevel="0" collapsed="false">
      <c r="A27" s="32" t="n">
        <v>46296</v>
      </c>
      <c r="B27" s="29" t="s">
        <v>76</v>
      </c>
      <c r="C27" s="29" t="s">
        <v>189</v>
      </c>
      <c r="D27" s="25" t="n">
        <v>4000</v>
      </c>
      <c r="E27" s="25"/>
      <c r="F27" s="25"/>
      <c r="G27" s="40"/>
      <c r="H27" s="40"/>
      <c r="I27" s="34" t="s">
        <v>190</v>
      </c>
      <c r="J27" s="35"/>
    </row>
    <row r="28" customFormat="false" ht="15" hidden="false" customHeight="false" outlineLevel="0" collapsed="false">
      <c r="A28" s="49" t="n">
        <v>46296</v>
      </c>
      <c r="B28" s="50" t="s">
        <v>76</v>
      </c>
      <c r="C28" s="50" t="s">
        <v>191</v>
      </c>
      <c r="D28" s="51"/>
      <c r="E28" s="51"/>
      <c r="F28" s="51" t="n">
        <v>100</v>
      </c>
      <c r="G28" s="40"/>
      <c r="H28" s="40"/>
      <c r="I28" s="52" t="s">
        <v>192</v>
      </c>
      <c r="J28" s="53" t="s">
        <v>193</v>
      </c>
    </row>
    <row r="29" customFormat="false" ht="15" hidden="false" customHeight="false" outlineLevel="0" collapsed="false">
      <c r="A29" s="36" t="n">
        <v>46297</v>
      </c>
      <c r="B29" s="37" t="s">
        <v>76</v>
      </c>
      <c r="C29" s="37" t="s">
        <v>194</v>
      </c>
      <c r="D29" s="38" t="n">
        <v>50</v>
      </c>
      <c r="E29" s="38"/>
      <c r="F29" s="38"/>
      <c r="G29" s="40" t="n">
        <f aca="false">SUMIFS($D$5:$D$504,$A$5:$A$504,A29,$B$5:$B$504,B29)+SUMIFS($E$5:$E$504,$A$5:$A$504,A29,$B$5:$B$504,B29)-SUMIFS($F$5:$F$504,$A$5:$A$504,A29,$B$5:$B$504,B29)</f>
        <v>150</v>
      </c>
      <c r="H29" s="40" t="n">
        <f aca="false">SUMIFS($F$5:$F$504,$A$5:$A$504,A29,$B$5:$B$504,B29)</f>
        <v>0</v>
      </c>
      <c r="I29" s="41" t="s">
        <v>195</v>
      </c>
      <c r="J29" s="42"/>
    </row>
    <row r="30" customFormat="false" ht="15" hidden="false" customHeight="false" outlineLevel="0" collapsed="false">
      <c r="A30" s="32" t="n">
        <v>46297</v>
      </c>
      <c r="B30" s="29" t="s">
        <v>76</v>
      </c>
      <c r="C30" s="29" t="s">
        <v>196</v>
      </c>
      <c r="D30" s="25" t="n">
        <v>100</v>
      </c>
      <c r="E30" s="25"/>
      <c r="F30" s="25"/>
      <c r="G30" s="40"/>
      <c r="H30" s="40"/>
      <c r="I30" s="34" t="s">
        <v>197</v>
      </c>
      <c r="J30" s="35"/>
    </row>
    <row r="31" customFormat="false" ht="15" hidden="false" customHeight="false" outlineLevel="0" collapsed="false">
      <c r="A31" s="36" t="n">
        <v>46298</v>
      </c>
      <c r="B31" s="37" t="s">
        <v>76</v>
      </c>
      <c r="C31" s="37" t="s">
        <v>196</v>
      </c>
      <c r="D31" s="38" t="n">
        <v>100</v>
      </c>
      <c r="E31" s="38"/>
      <c r="F31" s="38"/>
      <c r="G31" s="40" t="n">
        <f aca="false">SUMIFS($D$5:$D$504,$A$5:$A$504,A31,$B$5:$B$504,B31)+SUMIFS($E$5:$E$504,$A$5:$A$504,A31,$B$5:$B$504,B31)-SUMIFS($F$5:$F$504,$A$5:$A$504,A31,$B$5:$B$504,B31)</f>
        <v>16810</v>
      </c>
      <c r="H31" s="40" t="n">
        <f aca="false">SUMIFS($F$5:$F$504,$A$5:$A$504,A31,$B$5:$B$504,B31)</f>
        <v>1120</v>
      </c>
      <c r="I31" s="41" t="s">
        <v>198</v>
      </c>
      <c r="J31" s="42"/>
    </row>
    <row r="32" customFormat="false" ht="15" hidden="false" customHeight="false" outlineLevel="0" collapsed="false">
      <c r="A32" s="32" t="n">
        <v>46298</v>
      </c>
      <c r="B32" s="29" t="s">
        <v>76</v>
      </c>
      <c r="C32" s="29" t="s">
        <v>199</v>
      </c>
      <c r="D32" s="25" t="n">
        <v>2580</v>
      </c>
      <c r="E32" s="25"/>
      <c r="F32" s="25"/>
      <c r="G32" s="40"/>
      <c r="H32" s="40"/>
      <c r="I32" s="34" t="s">
        <v>200</v>
      </c>
      <c r="J32" s="35"/>
    </row>
    <row r="33" customFormat="false" ht="15" hidden="false" customHeight="false" outlineLevel="0" collapsed="false">
      <c r="A33" s="32" t="n">
        <v>46298</v>
      </c>
      <c r="B33" s="29" t="s">
        <v>76</v>
      </c>
      <c r="C33" s="29" t="s">
        <v>201</v>
      </c>
      <c r="D33" s="25" t="n">
        <v>4100</v>
      </c>
      <c r="E33" s="25"/>
      <c r="F33" s="25" t="n">
        <v>1120</v>
      </c>
      <c r="G33" s="40"/>
      <c r="H33" s="40"/>
      <c r="I33" s="34" t="s">
        <v>202</v>
      </c>
      <c r="J33" s="35"/>
    </row>
    <row r="34" customFormat="false" ht="15" hidden="false" customHeight="false" outlineLevel="0" collapsed="false">
      <c r="A34" s="32" t="n">
        <v>46298</v>
      </c>
      <c r="B34" s="29" t="s">
        <v>76</v>
      </c>
      <c r="C34" s="29" t="s">
        <v>203</v>
      </c>
      <c r="D34" s="25" t="n">
        <v>1000</v>
      </c>
      <c r="E34" s="25"/>
      <c r="F34" s="25"/>
      <c r="G34" s="40"/>
      <c r="H34" s="40"/>
      <c r="I34" s="34" t="s">
        <v>204</v>
      </c>
      <c r="J34" s="35"/>
    </row>
    <row r="35" customFormat="false" ht="15" hidden="false" customHeight="false" outlineLevel="0" collapsed="false">
      <c r="A35" s="32" t="n">
        <v>46298</v>
      </c>
      <c r="B35" s="29" t="s">
        <v>76</v>
      </c>
      <c r="C35" s="29" t="s">
        <v>205</v>
      </c>
      <c r="D35" s="25" t="n">
        <v>50</v>
      </c>
      <c r="E35" s="25"/>
      <c r="F35" s="25"/>
      <c r="G35" s="40"/>
      <c r="H35" s="40"/>
      <c r="I35" s="34" t="s">
        <v>206</v>
      </c>
      <c r="J35" s="35"/>
    </row>
    <row r="36" customFormat="false" ht="15" hidden="false" customHeight="false" outlineLevel="0" collapsed="false">
      <c r="A36" s="32" t="n">
        <v>46298</v>
      </c>
      <c r="B36" s="29" t="s">
        <v>76</v>
      </c>
      <c r="C36" s="29" t="s">
        <v>207</v>
      </c>
      <c r="D36" s="25" t="n">
        <v>10000</v>
      </c>
      <c r="E36" s="25"/>
      <c r="F36" s="25"/>
      <c r="G36" s="40"/>
      <c r="H36" s="40"/>
      <c r="I36" s="34" t="s">
        <v>208</v>
      </c>
      <c r="J36" s="35"/>
    </row>
    <row r="37" customFormat="false" ht="15" hidden="false" customHeight="false" outlineLevel="0" collapsed="false">
      <c r="A37" s="32" t="n">
        <v>46298</v>
      </c>
      <c r="B37" s="29" t="s">
        <v>76</v>
      </c>
      <c r="C37" s="29" t="s">
        <v>209</v>
      </c>
      <c r="D37" s="25" t="n">
        <v>100</v>
      </c>
      <c r="E37" s="25"/>
      <c r="F37" s="25"/>
      <c r="G37" s="40"/>
      <c r="H37" s="40"/>
      <c r="I37" s="34" t="s">
        <v>210</v>
      </c>
      <c r="J37" s="35"/>
    </row>
    <row r="38" customFormat="false" ht="15" hidden="false" customHeight="false" outlineLevel="0" collapsed="false">
      <c r="A38" s="36" t="n">
        <v>46299</v>
      </c>
      <c r="B38" s="37" t="s">
        <v>76</v>
      </c>
      <c r="C38" s="37" t="s">
        <v>209</v>
      </c>
      <c r="D38" s="38" t="n">
        <v>2000</v>
      </c>
      <c r="E38" s="38"/>
      <c r="F38" s="38"/>
      <c r="G38" s="40" t="n">
        <f aca="false">SUMIFS($D$5:$D$504,$A$5:$A$504,A38,$B$5:$B$504,B38)+SUMIFS($E$5:$E$504,$A$5:$A$504,A38,$B$5:$B$504,B38)-SUMIFS($F$5:$F$504,$A$5:$A$504,A38,$B$5:$B$504,B38)</f>
        <v>25590</v>
      </c>
      <c r="H38" s="40" t="n">
        <f aca="false">SUMIFS($F$5:$F$504,$A$5:$A$504,A38,$B$5:$B$504,B38)</f>
        <v>0</v>
      </c>
      <c r="I38" s="41" t="s">
        <v>211</v>
      </c>
      <c r="J38" s="42"/>
    </row>
    <row r="39" customFormat="false" ht="15" hidden="false" customHeight="false" outlineLevel="0" collapsed="false">
      <c r="A39" s="32" t="n">
        <v>46299</v>
      </c>
      <c r="B39" s="29" t="s">
        <v>76</v>
      </c>
      <c r="C39" s="29" t="s">
        <v>212</v>
      </c>
      <c r="D39" s="25" t="n">
        <v>150</v>
      </c>
      <c r="E39" s="25"/>
      <c r="F39" s="25"/>
      <c r="G39" s="40"/>
      <c r="H39" s="40"/>
      <c r="I39" s="34" t="s">
        <v>213</v>
      </c>
      <c r="J39" s="35"/>
    </row>
    <row r="40" customFormat="false" ht="15" hidden="false" customHeight="false" outlineLevel="0" collapsed="false">
      <c r="A40" s="32" t="n">
        <v>46299</v>
      </c>
      <c r="B40" s="29" t="s">
        <v>76</v>
      </c>
      <c r="C40" s="29" t="s">
        <v>214</v>
      </c>
      <c r="D40" s="25" t="n">
        <v>1000</v>
      </c>
      <c r="E40" s="25"/>
      <c r="F40" s="25"/>
      <c r="G40" s="40"/>
      <c r="H40" s="40"/>
      <c r="I40" s="34" t="s">
        <v>215</v>
      </c>
      <c r="J40" s="35"/>
    </row>
    <row r="41" customFormat="false" ht="15" hidden="false" customHeight="false" outlineLevel="0" collapsed="false">
      <c r="A41" s="32" t="n">
        <v>46299</v>
      </c>
      <c r="B41" s="29" t="s">
        <v>76</v>
      </c>
      <c r="C41" s="29" t="s">
        <v>216</v>
      </c>
      <c r="D41" s="25" t="n">
        <v>1200</v>
      </c>
      <c r="E41" s="25"/>
      <c r="F41" s="25"/>
      <c r="G41" s="40"/>
      <c r="H41" s="40"/>
      <c r="I41" s="34" t="s">
        <v>217</v>
      </c>
      <c r="J41" s="35"/>
    </row>
    <row r="42" customFormat="false" ht="15" hidden="false" customHeight="false" outlineLevel="0" collapsed="false">
      <c r="A42" s="32" t="n">
        <v>46299</v>
      </c>
      <c r="B42" s="29" t="s">
        <v>76</v>
      </c>
      <c r="C42" s="29" t="s">
        <v>218</v>
      </c>
      <c r="D42" s="25" t="n">
        <v>500</v>
      </c>
      <c r="E42" s="25"/>
      <c r="F42" s="25"/>
      <c r="G42" s="40"/>
      <c r="H42" s="40"/>
      <c r="I42" s="34" t="s">
        <v>219</v>
      </c>
      <c r="J42" s="35"/>
    </row>
    <row r="43" customFormat="false" ht="15" hidden="false" customHeight="false" outlineLevel="0" collapsed="false">
      <c r="A43" s="32" t="n">
        <v>46299</v>
      </c>
      <c r="B43" s="29" t="s">
        <v>76</v>
      </c>
      <c r="C43" s="29" t="s">
        <v>207</v>
      </c>
      <c r="D43" s="25"/>
      <c r="E43" s="25" t="n">
        <v>19190</v>
      </c>
      <c r="F43" s="25"/>
      <c r="G43" s="40"/>
      <c r="H43" s="40"/>
      <c r="I43" s="34" t="s">
        <v>220</v>
      </c>
      <c r="J43" s="35"/>
    </row>
    <row r="44" customFormat="false" ht="15" hidden="false" customHeight="false" outlineLevel="0" collapsed="false">
      <c r="A44" s="32" t="n">
        <v>46299</v>
      </c>
      <c r="B44" s="29" t="s">
        <v>76</v>
      </c>
      <c r="C44" s="29" t="s">
        <v>221</v>
      </c>
      <c r="D44" s="25" t="n">
        <v>500</v>
      </c>
      <c r="E44" s="25"/>
      <c r="F44" s="25"/>
      <c r="G44" s="40"/>
      <c r="H44" s="40"/>
      <c r="I44" s="34" t="s">
        <v>222</v>
      </c>
      <c r="J44" s="35"/>
    </row>
    <row r="45" customFormat="false" ht="15" hidden="false" customHeight="false" outlineLevel="0" collapsed="false">
      <c r="A45" s="32" t="n">
        <v>46299</v>
      </c>
      <c r="B45" s="29" t="s">
        <v>76</v>
      </c>
      <c r="C45" s="29" t="s">
        <v>223</v>
      </c>
      <c r="D45" s="25" t="n">
        <v>1000</v>
      </c>
      <c r="E45" s="25"/>
      <c r="F45" s="25"/>
      <c r="G45" s="40"/>
      <c r="H45" s="40"/>
      <c r="I45" s="34" t="s">
        <v>224</v>
      </c>
      <c r="J45" s="35"/>
    </row>
    <row r="46" customFormat="false" ht="15" hidden="false" customHeight="false" outlineLevel="0" collapsed="false">
      <c r="A46" s="32" t="n">
        <v>46299</v>
      </c>
      <c r="B46" s="29" t="s">
        <v>76</v>
      </c>
      <c r="C46" s="29" t="s">
        <v>212</v>
      </c>
      <c r="D46" s="25" t="n">
        <v>50</v>
      </c>
      <c r="E46" s="25"/>
      <c r="F46" s="25"/>
      <c r="G46" s="40"/>
      <c r="H46" s="40"/>
      <c r="I46" s="34" t="s">
        <v>225</v>
      </c>
      <c r="J46" s="35"/>
    </row>
    <row r="47" customFormat="false" ht="15" hidden="false" customHeight="false" outlineLevel="0" collapsed="false">
      <c r="A47" s="36" t="n">
        <v>46300</v>
      </c>
      <c r="B47" s="37" t="s">
        <v>76</v>
      </c>
      <c r="C47" s="37" t="s">
        <v>226</v>
      </c>
      <c r="D47" s="38" t="n">
        <v>500</v>
      </c>
      <c r="E47" s="38"/>
      <c r="F47" s="38"/>
      <c r="G47" s="40" t="n">
        <f aca="false">SUMIFS($D$5:$D$504,$A$5:$A$504,A47,$B$5:$B$504,B47)+SUMIFS($E$5:$E$504,$A$5:$A$504,A47,$B$5:$B$504,B47)-SUMIFS($F$5:$F$504,$A$5:$A$504,A47,$B$5:$B$504,B47)</f>
        <v>5550</v>
      </c>
      <c r="H47" s="40" t="n">
        <f aca="false">SUMIFS($F$5:$F$504,$A$5:$A$504,A47,$B$5:$B$504,B47)</f>
        <v>0</v>
      </c>
      <c r="I47" s="41" t="s">
        <v>227</v>
      </c>
      <c r="J47" s="42"/>
    </row>
    <row r="48" customFormat="false" ht="15" hidden="false" customHeight="false" outlineLevel="0" collapsed="false">
      <c r="A48" s="32" t="n">
        <v>46300</v>
      </c>
      <c r="B48" s="29" t="s">
        <v>76</v>
      </c>
      <c r="C48" s="29" t="s">
        <v>228</v>
      </c>
      <c r="D48" s="25" t="n">
        <v>50</v>
      </c>
      <c r="E48" s="25"/>
      <c r="F48" s="25"/>
      <c r="G48" s="40"/>
      <c r="H48" s="40"/>
      <c r="I48" s="34" t="s">
        <v>229</v>
      </c>
      <c r="J48" s="35"/>
    </row>
    <row r="49" customFormat="false" ht="15" hidden="false" customHeight="false" outlineLevel="0" collapsed="false">
      <c r="A49" s="32" t="n">
        <v>46300</v>
      </c>
      <c r="B49" s="29" t="s">
        <v>76</v>
      </c>
      <c r="C49" s="29" t="s">
        <v>230</v>
      </c>
      <c r="D49" s="25" t="n">
        <v>1000</v>
      </c>
      <c r="E49" s="25" t="n">
        <v>4000</v>
      </c>
      <c r="F49" s="25"/>
      <c r="G49" s="40"/>
      <c r="H49" s="40"/>
      <c r="I49" s="34" t="s">
        <v>231</v>
      </c>
      <c r="J49" s="35"/>
    </row>
    <row r="50" customFormat="false" ht="15" hidden="false" customHeight="false" outlineLevel="0" collapsed="false">
      <c r="A50" s="36" t="n">
        <v>46296</v>
      </c>
      <c r="B50" s="37" t="s">
        <v>74</v>
      </c>
      <c r="C50" s="37" t="s">
        <v>232</v>
      </c>
      <c r="D50" s="38" t="n">
        <v>160</v>
      </c>
      <c r="E50" s="38"/>
      <c r="F50" s="38"/>
      <c r="G50" s="40" t="n">
        <f aca="false">SUMIFS($D$5:$D$504,$A$5:$A$504,A50,$B$5:$B$504,B50)+SUMIFS($E$5:$E$504,$A$5:$A$504,A50,$B$5:$B$504,B50)-SUMIFS($F$5:$F$504,$A$5:$A$504,A50,$B$5:$B$504,B50)</f>
        <v>9</v>
      </c>
      <c r="H50" s="40" t="n">
        <f aca="false">SUMIFS($F$5:$F$504,$A$5:$A$504,A50,$B$5:$B$504,B50)</f>
        <v>251</v>
      </c>
      <c r="I50" s="41" t="s">
        <v>233</v>
      </c>
      <c r="J50" s="42"/>
    </row>
    <row r="51" customFormat="false" ht="15" hidden="false" customHeight="false" outlineLevel="0" collapsed="false">
      <c r="A51" s="32" t="n">
        <v>46296</v>
      </c>
      <c r="B51" s="29" t="s">
        <v>74</v>
      </c>
      <c r="C51" s="29" t="s">
        <v>234</v>
      </c>
      <c r="D51" s="25" t="n">
        <v>100</v>
      </c>
      <c r="E51" s="25"/>
      <c r="F51" s="25" t="n">
        <v>251</v>
      </c>
      <c r="G51" s="40"/>
      <c r="H51" s="40"/>
      <c r="I51" s="34" t="s">
        <v>235</v>
      </c>
      <c r="J51" s="35"/>
    </row>
    <row r="52" customFormat="false" ht="15" hidden="false" customHeight="false" outlineLevel="0" collapsed="false">
      <c r="A52" s="36" t="n">
        <v>46297</v>
      </c>
      <c r="B52" s="37" t="s">
        <v>74</v>
      </c>
      <c r="C52" s="37" t="s">
        <v>234</v>
      </c>
      <c r="D52" s="38" t="n">
        <v>50</v>
      </c>
      <c r="E52" s="38"/>
      <c r="F52" s="38"/>
      <c r="G52" s="40" t="n">
        <f aca="false">SUMIFS($D$5:$D$504,$A$5:$A$504,A52,$B$5:$B$504,B52)+SUMIFS($E$5:$E$504,$A$5:$A$504,A52,$B$5:$B$504,B52)-SUMIFS($F$5:$F$504,$A$5:$A$504,A52,$B$5:$B$504,B52)</f>
        <v>50</v>
      </c>
      <c r="H52" s="40" t="n">
        <f aca="false">SUMIFS($F$5:$F$504,$A$5:$A$504,A52,$B$5:$B$504,B52)</f>
        <v>0</v>
      </c>
      <c r="I52" s="41" t="s">
        <v>236</v>
      </c>
      <c r="J52" s="42"/>
    </row>
    <row r="53" customFormat="false" ht="15" hidden="false" customHeight="false" outlineLevel="0" collapsed="false">
      <c r="A53" s="36" t="n">
        <v>46298</v>
      </c>
      <c r="B53" s="37" t="s">
        <v>74</v>
      </c>
      <c r="C53" s="37" t="s">
        <v>237</v>
      </c>
      <c r="D53" s="38" t="n">
        <v>7800</v>
      </c>
      <c r="E53" s="38" t="n">
        <v>4600</v>
      </c>
      <c r="F53" s="38" t="n">
        <v>500</v>
      </c>
      <c r="G53" s="40" t="n">
        <f aca="false">SUMIFS($D$5:$D$504,$A$5:$A$504,A53,$B$5:$B$504,B53)+SUMIFS($E$5:$E$504,$A$5:$A$504,A53,$B$5:$B$504,B53)-SUMIFS($F$5:$F$504,$A$5:$A$504,A53,$B$5:$B$504,B53)</f>
        <v>11900</v>
      </c>
      <c r="H53" s="40" t="n">
        <f aca="false">SUMIFS($F$5:$F$504,$A$5:$A$504,A53,$B$5:$B$504,B53)</f>
        <v>500</v>
      </c>
      <c r="I53" s="41" t="s">
        <v>238</v>
      </c>
      <c r="J53" s="42"/>
    </row>
    <row r="54" customFormat="false" ht="15" hidden="false" customHeight="false" outlineLevel="0" collapsed="false">
      <c r="A54" s="36" t="n">
        <v>46299</v>
      </c>
      <c r="B54" s="37" t="s">
        <v>74</v>
      </c>
      <c r="C54" s="37" t="s">
        <v>239</v>
      </c>
      <c r="D54" s="38" t="n">
        <v>100</v>
      </c>
      <c r="E54" s="38"/>
      <c r="F54" s="38"/>
      <c r="G54" s="40" t="n">
        <f aca="false">SUMIFS($D$5:$D$504,$A$5:$A$504,A54,$B$5:$B$504,B54)+SUMIFS($E$5:$E$504,$A$5:$A$504,A54,$B$5:$B$504,B54)-SUMIFS($F$5:$F$504,$A$5:$A$504,A54,$B$5:$B$504,B54)</f>
        <v>100</v>
      </c>
      <c r="H54" s="40" t="n">
        <f aca="false">SUMIFS($F$5:$F$504,$A$5:$A$504,A54,$B$5:$B$504,B54)</f>
        <v>0</v>
      </c>
      <c r="I54" s="41" t="s">
        <v>240</v>
      </c>
      <c r="J54" s="42"/>
    </row>
    <row r="55" customFormat="false" ht="15" hidden="false" customHeight="false" outlineLevel="0" collapsed="false">
      <c r="A55" s="43" t="n">
        <v>46300</v>
      </c>
      <c r="B55" s="44" t="s">
        <v>74</v>
      </c>
      <c r="C55" s="44" t="s">
        <v>237</v>
      </c>
      <c r="D55" s="45"/>
      <c r="E55" s="45" t="n">
        <v>4600</v>
      </c>
      <c r="F55" s="45"/>
      <c r="G55" s="40" t="n">
        <f aca="false">SUMIFS($D$5:$D$504,$A$5:$A$504,A55,$B$5:$B$504,B55)+SUMIFS($E$5:$E$504,$A$5:$A$504,A55,$B$5:$B$504,B55)-SUMIFS($F$5:$F$504,$A$5:$A$504,A55,$B$5:$B$504,B55)</f>
        <v>4600</v>
      </c>
      <c r="H55" s="40" t="n">
        <f aca="false">SUMIFS($F$5:$F$504,$A$5:$A$504,A55,$B$5:$B$504,B55)</f>
        <v>0</v>
      </c>
      <c r="I55" s="47" t="s">
        <v>241</v>
      </c>
      <c r="J55" s="48" t="s">
        <v>242</v>
      </c>
    </row>
    <row r="56" customFormat="false" ht="15" hidden="false" customHeight="false" outlineLevel="0" collapsed="false">
      <c r="A56" s="36" t="n">
        <v>46296</v>
      </c>
      <c r="B56" s="37" t="s">
        <v>80</v>
      </c>
      <c r="C56" s="37" t="s">
        <v>243</v>
      </c>
      <c r="D56" s="38" t="n">
        <v>200</v>
      </c>
      <c r="E56" s="38"/>
      <c r="F56" s="38"/>
      <c r="G56" s="40" t="n">
        <f aca="false">SUMIFS($D$5:$D$504,$A$5:$A$504,A56,$B$5:$B$504,B56)+SUMIFS($E$5:$E$504,$A$5:$A$504,A56,$B$5:$B$504,B56)-SUMIFS($F$5:$F$504,$A$5:$A$504,A56,$B$5:$B$504,B56)</f>
        <v>250</v>
      </c>
      <c r="H56" s="40" t="n">
        <f aca="false">SUMIFS($F$5:$F$504,$A$5:$A$504,A56,$B$5:$B$504,B56)</f>
        <v>500</v>
      </c>
      <c r="I56" s="41" t="s">
        <v>244</v>
      </c>
      <c r="J56" s="42"/>
    </row>
    <row r="57" customFormat="false" ht="15" hidden="false" customHeight="false" outlineLevel="0" collapsed="false">
      <c r="A57" s="49" t="n">
        <v>46296</v>
      </c>
      <c r="B57" s="50" t="s">
        <v>80</v>
      </c>
      <c r="C57" s="50" t="s">
        <v>191</v>
      </c>
      <c r="D57" s="51" t="n">
        <v>500</v>
      </c>
      <c r="E57" s="51"/>
      <c r="F57" s="51" t="n">
        <v>500</v>
      </c>
      <c r="G57" s="40"/>
      <c r="H57" s="40"/>
      <c r="I57" s="52" t="s">
        <v>245</v>
      </c>
      <c r="J57" s="53" t="s">
        <v>193</v>
      </c>
    </row>
    <row r="58" customFormat="false" ht="15" hidden="false" customHeight="false" outlineLevel="0" collapsed="false">
      <c r="A58" s="32" t="n">
        <v>46296</v>
      </c>
      <c r="B58" s="29" t="s">
        <v>80</v>
      </c>
      <c r="C58" s="29" t="s">
        <v>246</v>
      </c>
      <c r="D58" s="25" t="n">
        <v>50</v>
      </c>
      <c r="E58" s="25"/>
      <c r="F58" s="25"/>
      <c r="G58" s="40"/>
      <c r="H58" s="40"/>
      <c r="I58" s="34" t="s">
        <v>247</v>
      </c>
      <c r="J58" s="35"/>
    </row>
    <row r="59" customFormat="false" ht="15" hidden="false" customHeight="false" outlineLevel="0" collapsed="false">
      <c r="A59" s="43"/>
      <c r="B59" s="44" t="s">
        <v>83</v>
      </c>
      <c r="C59" s="44" t="s">
        <v>248</v>
      </c>
      <c r="D59" s="45" t="n">
        <v>1000</v>
      </c>
      <c r="E59" s="45"/>
      <c r="F59" s="45"/>
      <c r="G59" s="40" t="n">
        <f aca="false">SUM(D59:D60)+SUM(E59:E60)-SUM(F59:F60)</f>
        <v>4000</v>
      </c>
      <c r="H59" s="40" t="n">
        <f aca="false">SUM(F59:F60)</f>
        <v>0</v>
      </c>
      <c r="I59" s="47" t="s">
        <v>249</v>
      </c>
      <c r="J59" s="48" t="s">
        <v>250</v>
      </c>
    </row>
    <row r="60" customFormat="false" ht="15" hidden="false" customHeight="false" outlineLevel="0" collapsed="false">
      <c r="A60" s="49"/>
      <c r="B60" s="50" t="s">
        <v>83</v>
      </c>
      <c r="C60" s="50" t="s">
        <v>251</v>
      </c>
      <c r="D60" s="51" t="n">
        <v>3000</v>
      </c>
      <c r="E60" s="51"/>
      <c r="F60" s="51"/>
      <c r="G60" s="40"/>
      <c r="H60" s="40"/>
      <c r="I60" s="52" t="s">
        <v>252</v>
      </c>
      <c r="J60" s="53" t="s">
        <v>250</v>
      </c>
    </row>
    <row r="61" customFormat="false" ht="15" hidden="false" customHeight="false" outlineLevel="0" collapsed="false">
      <c r="A61" s="36" t="n">
        <v>46299</v>
      </c>
      <c r="B61" s="37" t="s">
        <v>86</v>
      </c>
      <c r="C61" s="37" t="s">
        <v>253</v>
      </c>
      <c r="D61" s="38" t="n">
        <v>1000</v>
      </c>
      <c r="E61" s="38"/>
      <c r="F61" s="38"/>
      <c r="G61" s="40" t="n">
        <f aca="false">SUMIFS($D$5:$D$504,$A$5:$A$504,A61,$B$5:$B$504,B61)+SUMIFS($E$5:$E$504,$A$5:$A$504,A61,$B$5:$B$504,B61)-SUMIFS($F$5:$F$504,$A$5:$A$504,A61,$B$5:$B$504,B61)</f>
        <v>1000</v>
      </c>
      <c r="H61" s="40" t="n">
        <f aca="false">SUMIFS($F$5:$F$504,$A$5:$A$504,A61,$B$5:$B$504,B61)</f>
        <v>0</v>
      </c>
      <c r="I61" s="41" t="s">
        <v>254</v>
      </c>
      <c r="J61" s="42"/>
    </row>
    <row r="62" customFormat="false" ht="15" hidden="false" customHeight="false" outlineLevel="0" collapsed="false">
      <c r="A62" s="36" t="n">
        <v>46300</v>
      </c>
      <c r="B62" s="37" t="s">
        <v>86</v>
      </c>
      <c r="C62" s="37" t="s">
        <v>255</v>
      </c>
      <c r="D62" s="38" t="n">
        <v>2500</v>
      </c>
      <c r="E62" s="38"/>
      <c r="F62" s="38"/>
      <c r="G62" s="40" t="n">
        <f aca="false">SUMIFS($D$5:$D$504,$A$5:$A$504,A62,$B$5:$B$504,B62)+SUMIFS($E$5:$E$504,$A$5:$A$504,A62,$B$5:$B$504,B62)-SUMIFS($F$5:$F$504,$A$5:$A$504,A62,$B$5:$B$504,B62)</f>
        <v>2500</v>
      </c>
      <c r="H62" s="40" t="n">
        <f aca="false">SUMIFS($F$5:$F$504,$A$5:$A$504,A62,$B$5:$B$504,B62)</f>
        <v>0</v>
      </c>
      <c r="I62" s="41" t="s">
        <v>256</v>
      </c>
      <c r="J62" s="42"/>
    </row>
    <row r="63" customFormat="false" ht="15" hidden="false" customHeight="false" outlineLevel="0" collapsed="false">
      <c r="A63" s="32"/>
      <c r="B63" s="29"/>
      <c r="C63" s="29"/>
      <c r="D63" s="25"/>
      <c r="E63" s="25"/>
      <c r="F63" s="25"/>
      <c r="G63" s="33" t="str">
        <f aca="false">IF(OR(B63="",AND(A63=A62 ,B63=B62)),"",SUMIFS($D$5:$D$504,$A$5:$A$504,A63,$B$5:$B$504,B63)+SUMIFS($E$5:$E$504,$A$5:$A$504,A63,$B$5:$B$504,B63)-SUMIFS($F$5:$F$504,$A$5:$A$504,A63,$B$5:$B$504,B63))</f>
        <v/>
      </c>
      <c r="H63" s="33" t="str">
        <f aca="false">IF(OR(B63="",AND(A63=A62 ,B63=B62)),"",SUMIFS($F$5:$F$504,$A$5:$A$504,A63,$B$5:$B$504,B63))</f>
        <v/>
      </c>
      <c r="I63" s="34"/>
      <c r="J63" s="35"/>
    </row>
    <row r="64" customFormat="false" ht="15" hidden="false" customHeight="false" outlineLevel="0" collapsed="false">
      <c r="A64" s="32"/>
      <c r="B64" s="29"/>
      <c r="C64" s="29"/>
      <c r="D64" s="25"/>
      <c r="E64" s="25"/>
      <c r="F64" s="25"/>
      <c r="G64" s="33" t="str">
        <f aca="false">IF(OR(B64="",AND(A64=A63 ,B64=B63)),"",SUMIFS($D$5:$D$504,$A$5:$A$504,A64,$B$5:$B$504,B64)+SUMIFS($E$5:$E$504,$A$5:$A$504,A64,$B$5:$B$504,B64)-SUMIFS($F$5:$F$504,$A$5:$A$504,A64,$B$5:$B$504,B64))</f>
        <v/>
      </c>
      <c r="H64" s="33" t="str">
        <f aca="false">IF(OR(B64="",AND(A64=A63 ,B64=B63)),"",SUMIFS($F$5:$F$504,$A$5:$A$504,A64,$B$5:$B$504,B64))</f>
        <v/>
      </c>
      <c r="I64" s="34"/>
      <c r="J64" s="35"/>
    </row>
    <row r="65" customFormat="false" ht="15" hidden="false" customHeight="false" outlineLevel="0" collapsed="false">
      <c r="A65" s="32"/>
      <c r="B65" s="29"/>
      <c r="C65" s="29"/>
      <c r="D65" s="25"/>
      <c r="E65" s="25"/>
      <c r="F65" s="25"/>
      <c r="G65" s="33" t="str">
        <f aca="false">IF(OR(B65="",AND(A65=A64 ,B65=B64)),"",SUMIFS($D$5:$D$504,$A$5:$A$504,A65,$B$5:$B$504,B65)+SUMIFS($E$5:$E$504,$A$5:$A$504,A65,$B$5:$B$504,B65)-SUMIFS($F$5:$F$504,$A$5:$A$504,A65,$B$5:$B$504,B65))</f>
        <v/>
      </c>
      <c r="H65" s="33" t="str">
        <f aca="false">IF(OR(B65="",AND(A65=A64 ,B65=B64)),"",SUMIFS($F$5:$F$504,$A$5:$A$504,A65,$B$5:$B$504,B65))</f>
        <v/>
      </c>
      <c r="I65" s="34"/>
      <c r="J65" s="35"/>
    </row>
    <row r="66" customFormat="false" ht="15" hidden="false" customHeight="false" outlineLevel="0" collapsed="false">
      <c r="A66" s="32"/>
      <c r="B66" s="29"/>
      <c r="C66" s="29"/>
      <c r="D66" s="25"/>
      <c r="E66" s="25"/>
      <c r="F66" s="25"/>
      <c r="G66" s="33" t="str">
        <f aca="false">IF(OR(B66="",AND(A66=A65 ,B66=B65)),"",SUMIFS($D$5:$D$504,$A$5:$A$504,A66,$B$5:$B$504,B66)+SUMIFS($E$5:$E$504,$A$5:$A$504,A66,$B$5:$B$504,B66)-SUMIFS($F$5:$F$504,$A$5:$A$504,A66,$B$5:$B$504,B66))</f>
        <v/>
      </c>
      <c r="H66" s="33" t="str">
        <f aca="false">IF(OR(B66="",AND(A66=A65 ,B66=B65)),"",SUMIFS($F$5:$F$504,$A$5:$A$504,A66,$B$5:$B$504,B66))</f>
        <v/>
      </c>
      <c r="I66" s="34"/>
      <c r="J66" s="35"/>
    </row>
    <row r="67" customFormat="false" ht="15" hidden="false" customHeight="false" outlineLevel="0" collapsed="false">
      <c r="A67" s="32"/>
      <c r="B67" s="29"/>
      <c r="C67" s="29"/>
      <c r="D67" s="25"/>
      <c r="E67" s="25"/>
      <c r="F67" s="25"/>
      <c r="G67" s="33" t="str">
        <f aca="false">IF(OR(B67="",AND(A67=A66 ,B67=B66)),"",SUMIFS($D$5:$D$504,$A$5:$A$504,A67,$B$5:$B$504,B67)+SUMIFS($E$5:$E$504,$A$5:$A$504,A67,$B$5:$B$504,B67)-SUMIFS($F$5:$F$504,$A$5:$A$504,A67,$B$5:$B$504,B67))</f>
        <v/>
      </c>
      <c r="H67" s="33" t="str">
        <f aca="false">IF(OR(B67="",AND(A67=A66 ,B67=B66)),"",SUMIFS($F$5:$F$504,$A$5:$A$504,A67,$B$5:$B$504,B67))</f>
        <v/>
      </c>
      <c r="I67" s="34"/>
      <c r="J67" s="35"/>
    </row>
    <row r="68" customFormat="false" ht="15" hidden="false" customHeight="false" outlineLevel="0" collapsed="false">
      <c r="A68" s="32"/>
      <c r="B68" s="29"/>
      <c r="C68" s="29"/>
      <c r="D68" s="25"/>
      <c r="E68" s="25"/>
      <c r="F68" s="25"/>
      <c r="G68" s="33" t="str">
        <f aca="false">IF(OR(B68="",AND(A68=A67 ,B68=B67)),"",SUMIFS($D$5:$D$504,$A$5:$A$504,A68,$B$5:$B$504,B68)+SUMIFS($E$5:$E$504,$A$5:$A$504,A68,$B$5:$B$504,B68)-SUMIFS($F$5:$F$504,$A$5:$A$504,A68,$B$5:$B$504,B68))</f>
        <v/>
      </c>
      <c r="H68" s="33" t="str">
        <f aca="false">IF(OR(B68="",AND(A68=A67 ,B68=B67)),"",SUMIFS($F$5:$F$504,$A$5:$A$504,A68,$B$5:$B$504,B68))</f>
        <v/>
      </c>
      <c r="I68" s="34"/>
      <c r="J68" s="35"/>
    </row>
    <row r="69" customFormat="false" ht="15" hidden="false" customHeight="false" outlineLevel="0" collapsed="false">
      <c r="A69" s="32"/>
      <c r="B69" s="29"/>
      <c r="C69" s="29"/>
      <c r="D69" s="25"/>
      <c r="E69" s="25"/>
      <c r="F69" s="25"/>
      <c r="G69" s="33" t="str">
        <f aca="false">IF(OR(B69="",AND(A69=A68 ,B69=B68)),"",SUMIFS($D$5:$D$504,$A$5:$A$504,A69,$B$5:$B$504,B69)+SUMIFS($E$5:$E$504,$A$5:$A$504,A69,$B$5:$B$504,B69)-SUMIFS($F$5:$F$504,$A$5:$A$504,A69,$B$5:$B$504,B69))</f>
        <v/>
      </c>
      <c r="H69" s="33" t="str">
        <f aca="false">IF(OR(B69="",AND(A69=A68 ,B69=B68)),"",SUMIFS($F$5:$F$504,$A$5:$A$504,A69,$B$5:$B$504,B69))</f>
        <v/>
      </c>
      <c r="I69" s="34"/>
      <c r="J69" s="35"/>
    </row>
    <row r="70" customFormat="false" ht="15" hidden="false" customHeight="false" outlineLevel="0" collapsed="false">
      <c r="A70" s="32"/>
      <c r="B70" s="29"/>
      <c r="C70" s="29"/>
      <c r="D70" s="25"/>
      <c r="E70" s="25"/>
      <c r="F70" s="25"/>
      <c r="G70" s="33" t="str">
        <f aca="false">IF(OR(B70="",AND(A70=A69 ,B70=B69)),"",SUMIFS($D$5:$D$504,$A$5:$A$504,A70,$B$5:$B$504,B70)+SUMIFS($E$5:$E$504,$A$5:$A$504,A70,$B$5:$B$504,B70)-SUMIFS($F$5:$F$504,$A$5:$A$504,A70,$B$5:$B$504,B70))</f>
        <v/>
      </c>
      <c r="H70" s="33" t="str">
        <f aca="false">IF(OR(B70="",AND(A70=A69 ,B70=B69)),"",SUMIFS($F$5:$F$504,$A$5:$A$504,A70,$B$5:$B$504,B70))</f>
        <v/>
      </c>
      <c r="I70" s="34"/>
      <c r="J70" s="35"/>
    </row>
    <row r="71" customFormat="false" ht="15" hidden="false" customHeight="false" outlineLevel="0" collapsed="false">
      <c r="A71" s="32"/>
      <c r="B71" s="29"/>
      <c r="C71" s="29"/>
      <c r="D71" s="25"/>
      <c r="E71" s="25"/>
      <c r="F71" s="25"/>
      <c r="G71" s="33" t="str">
        <f aca="false">IF(OR(B71="",AND(A71=A70 ,B71=B70)),"",SUMIFS($D$5:$D$504,$A$5:$A$504,A71,$B$5:$B$504,B71)+SUMIFS($E$5:$E$504,$A$5:$A$504,A71,$B$5:$B$504,B71)-SUMIFS($F$5:$F$504,$A$5:$A$504,A71,$B$5:$B$504,B71))</f>
        <v/>
      </c>
      <c r="H71" s="33" t="str">
        <f aca="false">IF(OR(B71="",AND(A71=A70 ,B71=B70)),"",SUMIFS($F$5:$F$504,$A$5:$A$504,A71,$B$5:$B$504,B71))</f>
        <v/>
      </c>
      <c r="I71" s="34"/>
      <c r="J71" s="35"/>
    </row>
    <row r="72" customFormat="false" ht="15" hidden="false" customHeight="false" outlineLevel="0" collapsed="false">
      <c r="A72" s="32"/>
      <c r="B72" s="29"/>
      <c r="C72" s="29"/>
      <c r="D72" s="25"/>
      <c r="E72" s="25"/>
      <c r="F72" s="25"/>
      <c r="G72" s="33" t="str">
        <f aca="false">IF(OR(B72="",AND(A72=A71 ,B72=B71)),"",SUMIFS($D$5:$D$504,$A$5:$A$504,A72,$B$5:$B$504,B72)+SUMIFS($E$5:$E$504,$A$5:$A$504,A72,$B$5:$B$504,B72)-SUMIFS($F$5:$F$504,$A$5:$A$504,A72,$B$5:$B$504,B72))</f>
        <v/>
      </c>
      <c r="H72" s="33" t="str">
        <f aca="false">IF(OR(B72="",AND(A72=A71 ,B72=B71)),"",SUMIFS($F$5:$F$504,$A$5:$A$504,A72,$B$5:$B$504,B72))</f>
        <v/>
      </c>
      <c r="I72" s="34"/>
      <c r="J72" s="35"/>
    </row>
    <row r="73" customFormat="false" ht="15" hidden="false" customHeight="false" outlineLevel="0" collapsed="false">
      <c r="A73" s="32"/>
      <c r="B73" s="29"/>
      <c r="C73" s="29"/>
      <c r="D73" s="25"/>
      <c r="E73" s="25"/>
      <c r="F73" s="25"/>
      <c r="G73" s="33" t="str">
        <f aca="false">IF(OR(B73="",AND(A73=A72 ,B73=B72)),"",SUMIFS($D$5:$D$504,$A$5:$A$504,A73,$B$5:$B$504,B73)+SUMIFS($E$5:$E$504,$A$5:$A$504,A73,$B$5:$B$504,B73)-SUMIFS($F$5:$F$504,$A$5:$A$504,A73,$B$5:$B$504,B73))</f>
        <v/>
      </c>
      <c r="H73" s="33" t="str">
        <f aca="false">IF(OR(B73="",AND(A73=A72 ,B73=B72)),"",SUMIFS($F$5:$F$504,$A$5:$A$504,A73,$B$5:$B$504,B73))</f>
        <v/>
      </c>
      <c r="I73" s="34"/>
      <c r="J73" s="35"/>
    </row>
    <row r="74" customFormat="false" ht="15" hidden="false" customHeight="false" outlineLevel="0" collapsed="false">
      <c r="A74" s="32"/>
      <c r="B74" s="29"/>
      <c r="C74" s="29"/>
      <c r="D74" s="25"/>
      <c r="E74" s="25"/>
      <c r="F74" s="25"/>
      <c r="G74" s="33" t="str">
        <f aca="false">IF(OR(B74="",AND(A74=A73 ,B74=B73)),"",SUMIFS($D$5:$D$504,$A$5:$A$504,A74,$B$5:$B$504,B74)+SUMIFS($E$5:$E$504,$A$5:$A$504,A74,$B$5:$B$504,B74)-SUMIFS($F$5:$F$504,$A$5:$A$504,A74,$B$5:$B$504,B74))</f>
        <v/>
      </c>
      <c r="H74" s="33" t="str">
        <f aca="false">IF(OR(B74="",AND(A74=A73 ,B74=B73)),"",SUMIFS($F$5:$F$504,$A$5:$A$504,A74,$B$5:$B$504,B74))</f>
        <v/>
      </c>
      <c r="I74" s="34"/>
      <c r="J74" s="35"/>
    </row>
    <row r="75" customFormat="false" ht="15" hidden="false" customHeight="false" outlineLevel="0" collapsed="false">
      <c r="A75" s="32"/>
      <c r="B75" s="29"/>
      <c r="C75" s="29"/>
      <c r="D75" s="25"/>
      <c r="E75" s="25"/>
      <c r="F75" s="25"/>
      <c r="G75" s="33" t="str">
        <f aca="false">IF(OR(B75="",AND(A75=A74 ,B75=B74)),"",SUMIFS($D$5:$D$504,$A$5:$A$504,A75,$B$5:$B$504,B75)+SUMIFS($E$5:$E$504,$A$5:$A$504,A75,$B$5:$B$504,B75)-SUMIFS($F$5:$F$504,$A$5:$A$504,A75,$B$5:$B$504,B75))</f>
        <v/>
      </c>
      <c r="H75" s="33" t="str">
        <f aca="false">IF(OR(B75="",AND(A75=A74 ,B75=B74)),"",SUMIFS($F$5:$F$504,$A$5:$A$504,A75,$B$5:$B$504,B75))</f>
        <v/>
      </c>
      <c r="I75" s="34"/>
      <c r="J75" s="35"/>
    </row>
    <row r="76" customFormat="false" ht="15" hidden="false" customHeight="false" outlineLevel="0" collapsed="false">
      <c r="A76" s="32"/>
      <c r="B76" s="29"/>
      <c r="C76" s="29"/>
      <c r="D76" s="25"/>
      <c r="E76" s="25"/>
      <c r="F76" s="25"/>
      <c r="G76" s="33" t="str">
        <f aca="false">IF(OR(B76="",AND(A76=A75 ,B76=B75)),"",SUMIFS($D$5:$D$504,$A$5:$A$504,A76,$B$5:$B$504,B76)+SUMIFS($E$5:$E$504,$A$5:$A$504,A76,$B$5:$B$504,B76)-SUMIFS($F$5:$F$504,$A$5:$A$504,A76,$B$5:$B$504,B76))</f>
        <v/>
      </c>
      <c r="H76" s="33" t="str">
        <f aca="false">IF(OR(B76="",AND(A76=A75 ,B76=B75)),"",SUMIFS($F$5:$F$504,$A$5:$A$504,A76,$B$5:$B$504,B76))</f>
        <v/>
      </c>
      <c r="I76" s="34"/>
      <c r="J76" s="35"/>
    </row>
    <row r="77" customFormat="false" ht="15" hidden="false" customHeight="false" outlineLevel="0" collapsed="false">
      <c r="A77" s="32"/>
      <c r="B77" s="29"/>
      <c r="C77" s="29"/>
      <c r="D77" s="25"/>
      <c r="E77" s="25"/>
      <c r="F77" s="25"/>
      <c r="G77" s="33" t="str">
        <f aca="false">IF(OR(B77="",AND(A77=A76 ,B77=B76)),"",SUMIFS($D$5:$D$504,$A$5:$A$504,A77,$B$5:$B$504,B77)+SUMIFS($E$5:$E$504,$A$5:$A$504,A77,$B$5:$B$504,B77)-SUMIFS($F$5:$F$504,$A$5:$A$504,A77,$B$5:$B$504,B77))</f>
        <v/>
      </c>
      <c r="H77" s="33" t="str">
        <f aca="false">IF(OR(B77="",AND(A77=A76 ,B77=B76)),"",SUMIFS($F$5:$F$504,$A$5:$A$504,A77,$B$5:$B$504,B77))</f>
        <v/>
      </c>
      <c r="I77" s="34"/>
      <c r="J77" s="35"/>
    </row>
    <row r="78" customFormat="false" ht="15" hidden="false" customHeight="false" outlineLevel="0" collapsed="false">
      <c r="A78" s="32"/>
      <c r="B78" s="29"/>
      <c r="C78" s="29"/>
      <c r="D78" s="25"/>
      <c r="E78" s="25"/>
      <c r="F78" s="25"/>
      <c r="G78" s="33" t="str">
        <f aca="false">IF(OR(B78="",AND(A78=A77 ,B78=B77)),"",SUMIFS($D$5:$D$504,$A$5:$A$504,A78,$B$5:$B$504,B78)+SUMIFS($E$5:$E$504,$A$5:$A$504,A78,$B$5:$B$504,B78)-SUMIFS($F$5:$F$504,$A$5:$A$504,A78,$B$5:$B$504,B78))</f>
        <v/>
      </c>
      <c r="H78" s="33" t="str">
        <f aca="false">IF(OR(B78="",AND(A78=A77 ,B78=B77)),"",SUMIFS($F$5:$F$504,$A$5:$A$504,A78,$B$5:$B$504,B78))</f>
        <v/>
      </c>
      <c r="I78" s="34"/>
      <c r="J78" s="35"/>
    </row>
    <row r="79" customFormat="false" ht="15" hidden="false" customHeight="false" outlineLevel="0" collapsed="false">
      <c r="A79" s="32"/>
      <c r="B79" s="29"/>
      <c r="C79" s="29"/>
      <c r="D79" s="25"/>
      <c r="E79" s="25"/>
      <c r="F79" s="25"/>
      <c r="G79" s="33" t="str">
        <f aca="false">IF(OR(B79="",AND(A79=A78 ,B79=B78)),"",SUMIFS($D$5:$D$504,$A$5:$A$504,A79,$B$5:$B$504,B79)+SUMIFS($E$5:$E$504,$A$5:$A$504,A79,$B$5:$B$504,B79)-SUMIFS($F$5:$F$504,$A$5:$A$504,A79,$B$5:$B$504,B79))</f>
        <v/>
      </c>
      <c r="H79" s="33" t="str">
        <f aca="false">IF(OR(B79="",AND(A79=A78 ,B79=B78)),"",SUMIFS($F$5:$F$504,$A$5:$A$504,A79,$B$5:$B$504,B79))</f>
        <v/>
      </c>
      <c r="I79" s="34"/>
      <c r="J79" s="35"/>
    </row>
    <row r="80" customFormat="false" ht="15" hidden="false" customHeight="false" outlineLevel="0" collapsed="false">
      <c r="A80" s="32"/>
      <c r="B80" s="29"/>
      <c r="C80" s="29"/>
      <c r="D80" s="25"/>
      <c r="E80" s="25"/>
      <c r="F80" s="25"/>
      <c r="G80" s="33" t="str">
        <f aca="false">IF(OR(B80="",AND(A80=A79 ,B80=B79)),"",SUMIFS($D$5:$D$504,$A$5:$A$504,A80,$B$5:$B$504,B80)+SUMIFS($E$5:$E$504,$A$5:$A$504,A80,$B$5:$B$504,B80)-SUMIFS($F$5:$F$504,$A$5:$A$504,A80,$B$5:$B$504,B80))</f>
        <v/>
      </c>
      <c r="H80" s="33" t="str">
        <f aca="false">IF(OR(B80="",AND(A80=A79 ,B80=B79)),"",SUMIFS($F$5:$F$504,$A$5:$A$504,A80,$B$5:$B$504,B80))</f>
        <v/>
      </c>
      <c r="I80" s="34"/>
      <c r="J80" s="35"/>
    </row>
    <row r="81" customFormat="false" ht="15" hidden="false" customHeight="false" outlineLevel="0" collapsed="false">
      <c r="A81" s="32"/>
      <c r="B81" s="29"/>
      <c r="C81" s="29"/>
      <c r="D81" s="25"/>
      <c r="E81" s="25"/>
      <c r="F81" s="25"/>
      <c r="G81" s="33" t="str">
        <f aca="false">IF(OR(B81="",AND(A81=A80 ,B81=B80)),"",SUMIFS($D$5:$D$504,$A$5:$A$504,A81,$B$5:$B$504,B81)+SUMIFS($E$5:$E$504,$A$5:$A$504,A81,$B$5:$B$504,B81)-SUMIFS($F$5:$F$504,$A$5:$A$504,A81,$B$5:$B$504,B81))</f>
        <v/>
      </c>
      <c r="H81" s="33" t="str">
        <f aca="false">IF(OR(B81="",AND(A81=A80 ,B81=B80)),"",SUMIFS($F$5:$F$504,$A$5:$A$504,A81,$B$5:$B$504,B81))</f>
        <v/>
      </c>
      <c r="I81" s="34"/>
      <c r="J81" s="35"/>
    </row>
    <row r="82" customFormat="false" ht="15" hidden="false" customHeight="false" outlineLevel="0" collapsed="false">
      <c r="A82" s="32"/>
      <c r="B82" s="29"/>
      <c r="C82" s="29"/>
      <c r="D82" s="25"/>
      <c r="E82" s="25"/>
      <c r="F82" s="25"/>
      <c r="G82" s="33" t="str">
        <f aca="false">IF(OR(B82="",AND(A82=A81 ,B82=B81)),"",SUMIFS($D$5:$D$504,$A$5:$A$504,A82,$B$5:$B$504,B82)+SUMIFS($E$5:$E$504,$A$5:$A$504,A82,$B$5:$B$504,B82)-SUMIFS($F$5:$F$504,$A$5:$A$504,A82,$B$5:$B$504,B82))</f>
        <v/>
      </c>
      <c r="H82" s="33" t="str">
        <f aca="false">IF(OR(B82="",AND(A82=A81 ,B82=B81)),"",SUMIFS($F$5:$F$504,$A$5:$A$504,A82,$B$5:$B$504,B82))</f>
        <v/>
      </c>
      <c r="I82" s="34"/>
      <c r="J82" s="35"/>
    </row>
    <row r="83" customFormat="false" ht="15" hidden="false" customHeight="false" outlineLevel="0" collapsed="false">
      <c r="A83" s="32"/>
      <c r="B83" s="29"/>
      <c r="C83" s="29"/>
      <c r="D83" s="25"/>
      <c r="E83" s="25"/>
      <c r="F83" s="25"/>
      <c r="G83" s="33" t="str">
        <f aca="false">IF(OR(B83="",AND(A83=A82 ,B83=B82)),"",SUMIFS($D$5:$D$504,$A$5:$A$504,A83,$B$5:$B$504,B83)+SUMIFS($E$5:$E$504,$A$5:$A$504,A83,$B$5:$B$504,B83)-SUMIFS($F$5:$F$504,$A$5:$A$504,A83,$B$5:$B$504,B83))</f>
        <v/>
      </c>
      <c r="H83" s="33" t="str">
        <f aca="false">IF(OR(B83="",AND(A83=A82 ,B83=B82)),"",SUMIFS($F$5:$F$504,$A$5:$A$504,A83,$B$5:$B$504,B83))</f>
        <v/>
      </c>
      <c r="I83" s="34"/>
      <c r="J83" s="35"/>
    </row>
    <row r="84" customFormat="false" ht="15" hidden="false" customHeight="false" outlineLevel="0" collapsed="false">
      <c r="A84" s="32"/>
      <c r="B84" s="29"/>
      <c r="C84" s="29"/>
      <c r="D84" s="25"/>
      <c r="E84" s="25"/>
      <c r="F84" s="25"/>
      <c r="G84" s="33" t="str">
        <f aca="false">IF(OR(B84="",AND(A84=A83 ,B84=B83)),"",SUMIFS($D$5:$D$504,$A$5:$A$504,A84,$B$5:$B$504,B84)+SUMIFS($E$5:$E$504,$A$5:$A$504,A84,$B$5:$B$504,B84)-SUMIFS($F$5:$F$504,$A$5:$A$504,A84,$B$5:$B$504,B84))</f>
        <v/>
      </c>
      <c r="H84" s="33" t="str">
        <f aca="false">IF(OR(B84="",AND(A84=A83 ,B84=B83)),"",SUMIFS($F$5:$F$504,$A$5:$A$504,A84,$B$5:$B$504,B84))</f>
        <v/>
      </c>
      <c r="I84" s="34"/>
      <c r="J84" s="35"/>
    </row>
    <row r="85" customFormat="false" ht="15" hidden="false" customHeight="false" outlineLevel="0" collapsed="false">
      <c r="A85" s="32"/>
      <c r="B85" s="29"/>
      <c r="C85" s="29"/>
      <c r="D85" s="25"/>
      <c r="E85" s="25"/>
      <c r="F85" s="25"/>
      <c r="G85" s="33" t="str">
        <f aca="false">IF(OR(B85="",AND(A85=A84 ,B85=B84)),"",SUMIFS($D$5:$D$504,$A$5:$A$504,A85,$B$5:$B$504,B85)+SUMIFS($E$5:$E$504,$A$5:$A$504,A85,$B$5:$B$504,B85)-SUMIFS($F$5:$F$504,$A$5:$A$504,A85,$B$5:$B$504,B85))</f>
        <v/>
      </c>
      <c r="H85" s="33" t="str">
        <f aca="false">IF(OR(B85="",AND(A85=A84 ,B85=B84)),"",SUMIFS($F$5:$F$504,$A$5:$A$504,A85,$B$5:$B$504,B85))</f>
        <v/>
      </c>
      <c r="I85" s="34"/>
      <c r="J85" s="35"/>
    </row>
    <row r="86" customFormat="false" ht="15" hidden="false" customHeight="false" outlineLevel="0" collapsed="false">
      <c r="A86" s="32"/>
      <c r="B86" s="29"/>
      <c r="C86" s="29"/>
      <c r="D86" s="25"/>
      <c r="E86" s="25"/>
      <c r="F86" s="25"/>
      <c r="G86" s="33" t="str">
        <f aca="false">IF(OR(B86="",AND(A86=A85 ,B86=B85)),"",SUMIFS($D$5:$D$504,$A$5:$A$504,A86,$B$5:$B$504,B86)+SUMIFS($E$5:$E$504,$A$5:$A$504,A86,$B$5:$B$504,B86)-SUMIFS($F$5:$F$504,$A$5:$A$504,A86,$B$5:$B$504,B86))</f>
        <v/>
      </c>
      <c r="H86" s="33" t="str">
        <f aca="false">IF(OR(B86="",AND(A86=A85 ,B86=B85)),"",SUMIFS($F$5:$F$504,$A$5:$A$504,A86,$B$5:$B$504,B86))</f>
        <v/>
      </c>
      <c r="I86" s="34"/>
      <c r="J86" s="35"/>
    </row>
    <row r="87" customFormat="false" ht="15" hidden="false" customHeight="false" outlineLevel="0" collapsed="false">
      <c r="A87" s="32"/>
      <c r="B87" s="29"/>
      <c r="C87" s="29"/>
      <c r="D87" s="25"/>
      <c r="E87" s="25"/>
      <c r="F87" s="25"/>
      <c r="G87" s="33" t="str">
        <f aca="false">IF(OR(B87="",AND(A87=A86 ,B87=B86)),"",SUMIFS($D$5:$D$504,$A$5:$A$504,A87,$B$5:$B$504,B87)+SUMIFS($E$5:$E$504,$A$5:$A$504,A87,$B$5:$B$504,B87)-SUMIFS($F$5:$F$504,$A$5:$A$504,A87,$B$5:$B$504,B87))</f>
        <v/>
      </c>
      <c r="H87" s="33" t="str">
        <f aca="false">IF(OR(B87="",AND(A87=A86 ,B87=B86)),"",SUMIFS($F$5:$F$504,$A$5:$A$504,A87,$B$5:$B$504,B87))</f>
        <v/>
      </c>
      <c r="I87" s="34"/>
      <c r="J87" s="35"/>
    </row>
    <row r="88" customFormat="false" ht="15" hidden="false" customHeight="false" outlineLevel="0" collapsed="false">
      <c r="A88" s="32"/>
      <c r="B88" s="29"/>
      <c r="C88" s="29"/>
      <c r="D88" s="25"/>
      <c r="E88" s="25"/>
      <c r="F88" s="25"/>
      <c r="G88" s="33" t="str">
        <f aca="false">IF(OR(B88="",AND(A88=A87 ,B88=B87)),"",SUMIFS($D$5:$D$504,$A$5:$A$504,A88,$B$5:$B$504,B88)+SUMIFS($E$5:$E$504,$A$5:$A$504,A88,$B$5:$B$504,B88)-SUMIFS($F$5:$F$504,$A$5:$A$504,A88,$B$5:$B$504,B88))</f>
        <v/>
      </c>
      <c r="H88" s="33" t="str">
        <f aca="false">IF(OR(B88="",AND(A88=A87 ,B88=B87)),"",SUMIFS($F$5:$F$504,$A$5:$A$504,A88,$B$5:$B$504,B88))</f>
        <v/>
      </c>
      <c r="I88" s="34"/>
      <c r="J88" s="35"/>
    </row>
    <row r="89" customFormat="false" ht="15" hidden="false" customHeight="false" outlineLevel="0" collapsed="false">
      <c r="A89" s="32"/>
      <c r="B89" s="29"/>
      <c r="C89" s="29"/>
      <c r="D89" s="25"/>
      <c r="E89" s="25"/>
      <c r="F89" s="25"/>
      <c r="G89" s="33" t="str">
        <f aca="false">IF(OR(B89="",AND(A89=A88 ,B89=B88)),"",SUMIFS($D$5:$D$504,$A$5:$A$504,A89,$B$5:$B$504,B89)+SUMIFS($E$5:$E$504,$A$5:$A$504,A89,$B$5:$B$504,B89)-SUMIFS($F$5:$F$504,$A$5:$A$504,A89,$B$5:$B$504,B89))</f>
        <v/>
      </c>
      <c r="H89" s="33" t="str">
        <f aca="false">IF(OR(B89="",AND(A89=A88 ,B89=B88)),"",SUMIFS($F$5:$F$504,$A$5:$A$504,A89,$B$5:$B$504,B89))</f>
        <v/>
      </c>
      <c r="I89" s="34"/>
      <c r="J89" s="35"/>
    </row>
    <row r="90" customFormat="false" ht="15" hidden="false" customHeight="false" outlineLevel="0" collapsed="false">
      <c r="A90" s="32"/>
      <c r="B90" s="29"/>
      <c r="C90" s="29"/>
      <c r="D90" s="25"/>
      <c r="E90" s="25"/>
      <c r="F90" s="25"/>
      <c r="G90" s="33" t="str">
        <f aca="false">IF(OR(B90="",AND(A90=A89 ,B90=B89)),"",SUMIFS($D$5:$D$504,$A$5:$A$504,A90,$B$5:$B$504,B90)+SUMIFS($E$5:$E$504,$A$5:$A$504,A90,$B$5:$B$504,B90)-SUMIFS($F$5:$F$504,$A$5:$A$504,A90,$B$5:$B$504,B90))</f>
        <v/>
      </c>
      <c r="H90" s="33" t="str">
        <f aca="false">IF(OR(B90="",AND(A90=A89 ,B90=B89)),"",SUMIFS($F$5:$F$504,$A$5:$A$504,A90,$B$5:$B$504,B90))</f>
        <v/>
      </c>
      <c r="I90" s="34"/>
      <c r="J90" s="35"/>
    </row>
    <row r="91" customFormat="false" ht="15" hidden="false" customHeight="false" outlineLevel="0" collapsed="false">
      <c r="A91" s="32"/>
      <c r="B91" s="29"/>
      <c r="C91" s="29"/>
      <c r="D91" s="25"/>
      <c r="E91" s="25"/>
      <c r="F91" s="25"/>
      <c r="G91" s="33" t="str">
        <f aca="false">IF(OR(B91="",AND(A91=A90 ,B91=B90)),"",SUMIFS($D$5:$D$504,$A$5:$A$504,A91,$B$5:$B$504,B91)+SUMIFS($E$5:$E$504,$A$5:$A$504,A91,$B$5:$B$504,B91)-SUMIFS($F$5:$F$504,$A$5:$A$504,A91,$B$5:$B$504,B91))</f>
        <v/>
      </c>
      <c r="H91" s="33" t="str">
        <f aca="false">IF(OR(B91="",AND(A91=A90 ,B91=B90)),"",SUMIFS($F$5:$F$504,$A$5:$A$504,A91,$B$5:$B$504,B91))</f>
        <v/>
      </c>
      <c r="I91" s="34"/>
      <c r="J91" s="35"/>
    </row>
    <row r="92" customFormat="false" ht="15" hidden="false" customHeight="false" outlineLevel="0" collapsed="false">
      <c r="A92" s="32"/>
      <c r="B92" s="29"/>
      <c r="C92" s="29"/>
      <c r="D92" s="25"/>
      <c r="E92" s="25"/>
      <c r="F92" s="25"/>
      <c r="G92" s="33" t="str">
        <f aca="false">IF(OR(B92="",AND(A92=A91 ,B92=B91)),"",SUMIFS($D$5:$D$504,$A$5:$A$504,A92,$B$5:$B$504,B92)+SUMIFS($E$5:$E$504,$A$5:$A$504,A92,$B$5:$B$504,B92)-SUMIFS($F$5:$F$504,$A$5:$A$504,A92,$B$5:$B$504,B92))</f>
        <v/>
      </c>
      <c r="H92" s="33" t="str">
        <f aca="false">IF(OR(B92="",AND(A92=A91 ,B92=B91)),"",SUMIFS($F$5:$F$504,$A$5:$A$504,A92,$B$5:$B$504,B92))</f>
        <v/>
      </c>
      <c r="I92" s="34"/>
      <c r="J92" s="35"/>
    </row>
    <row r="93" customFormat="false" ht="15" hidden="false" customHeight="false" outlineLevel="0" collapsed="false">
      <c r="A93" s="32"/>
      <c r="B93" s="29"/>
      <c r="C93" s="29"/>
      <c r="D93" s="25"/>
      <c r="E93" s="25"/>
      <c r="F93" s="25"/>
      <c r="G93" s="33" t="str">
        <f aca="false">IF(OR(B93="",AND(A93=A92 ,B93=B92)),"",SUMIFS($D$5:$D$504,$A$5:$A$504,A93,$B$5:$B$504,B93)+SUMIFS($E$5:$E$504,$A$5:$A$504,A93,$B$5:$B$504,B93)-SUMIFS($F$5:$F$504,$A$5:$A$504,A93,$B$5:$B$504,B93))</f>
        <v/>
      </c>
      <c r="H93" s="33" t="str">
        <f aca="false">IF(OR(B93="",AND(A93=A92 ,B93=B92)),"",SUMIFS($F$5:$F$504,$A$5:$A$504,A93,$B$5:$B$504,B93))</f>
        <v/>
      </c>
      <c r="I93" s="34"/>
      <c r="J93" s="35"/>
    </row>
    <row r="94" customFormat="false" ht="15" hidden="false" customHeight="false" outlineLevel="0" collapsed="false">
      <c r="A94" s="32"/>
      <c r="B94" s="29"/>
      <c r="C94" s="29"/>
      <c r="D94" s="25"/>
      <c r="E94" s="25"/>
      <c r="F94" s="25"/>
      <c r="G94" s="33" t="str">
        <f aca="false">IF(OR(B94="",AND(A94=A93 ,B94=B93)),"",SUMIFS($D$5:$D$504,$A$5:$A$504,A94,$B$5:$B$504,B94)+SUMIFS($E$5:$E$504,$A$5:$A$504,A94,$B$5:$B$504,B94)-SUMIFS($F$5:$F$504,$A$5:$A$504,A94,$B$5:$B$504,B94))</f>
        <v/>
      </c>
      <c r="H94" s="33" t="str">
        <f aca="false">IF(OR(B94="",AND(A94=A93 ,B94=B93)),"",SUMIFS($F$5:$F$504,$A$5:$A$504,A94,$B$5:$B$504,B94))</f>
        <v/>
      </c>
      <c r="I94" s="34"/>
      <c r="J94" s="35"/>
    </row>
    <row r="95" customFormat="false" ht="15" hidden="false" customHeight="false" outlineLevel="0" collapsed="false">
      <c r="A95" s="32"/>
      <c r="B95" s="29"/>
      <c r="C95" s="29"/>
      <c r="D95" s="25"/>
      <c r="E95" s="25"/>
      <c r="F95" s="25"/>
      <c r="G95" s="33" t="str">
        <f aca="false">IF(OR(B95="",AND(A95=A94 ,B95=B94)),"",SUMIFS($D$5:$D$504,$A$5:$A$504,A95,$B$5:$B$504,B95)+SUMIFS($E$5:$E$504,$A$5:$A$504,A95,$B$5:$B$504,B95)-SUMIFS($F$5:$F$504,$A$5:$A$504,A95,$B$5:$B$504,B95))</f>
        <v/>
      </c>
      <c r="H95" s="33" t="str">
        <f aca="false">IF(OR(B95="",AND(A95=A94 ,B95=B94)),"",SUMIFS($F$5:$F$504,$A$5:$A$504,A95,$B$5:$B$504,B95))</f>
        <v/>
      </c>
      <c r="I95" s="34"/>
      <c r="J95" s="35"/>
    </row>
    <row r="96" customFormat="false" ht="15" hidden="false" customHeight="false" outlineLevel="0" collapsed="false">
      <c r="A96" s="32"/>
      <c r="B96" s="29"/>
      <c r="C96" s="29"/>
      <c r="D96" s="25"/>
      <c r="E96" s="25"/>
      <c r="F96" s="25"/>
      <c r="G96" s="33" t="str">
        <f aca="false">IF(OR(B96="",AND(A96=A95 ,B96=B95)),"",SUMIFS($D$5:$D$504,$A$5:$A$504,A96,$B$5:$B$504,B96)+SUMIFS($E$5:$E$504,$A$5:$A$504,A96,$B$5:$B$504,B96)-SUMIFS($F$5:$F$504,$A$5:$A$504,A96,$B$5:$B$504,B96))</f>
        <v/>
      </c>
      <c r="H96" s="33" t="str">
        <f aca="false">IF(OR(B96="",AND(A96=A95 ,B96=B95)),"",SUMIFS($F$5:$F$504,$A$5:$A$504,A96,$B$5:$B$504,B96))</f>
        <v/>
      </c>
      <c r="I96" s="34"/>
      <c r="J96" s="35"/>
    </row>
    <row r="97" customFormat="false" ht="15" hidden="false" customHeight="false" outlineLevel="0" collapsed="false">
      <c r="A97" s="32"/>
      <c r="B97" s="29"/>
      <c r="C97" s="29"/>
      <c r="D97" s="25"/>
      <c r="E97" s="25"/>
      <c r="F97" s="25"/>
      <c r="G97" s="33" t="str">
        <f aca="false">IF(OR(B97="",AND(A97=A96 ,B97=B96)),"",SUMIFS($D$5:$D$504,$A$5:$A$504,A97,$B$5:$B$504,B97)+SUMIFS($E$5:$E$504,$A$5:$A$504,A97,$B$5:$B$504,B97)-SUMIFS($F$5:$F$504,$A$5:$A$504,A97,$B$5:$B$504,B97))</f>
        <v/>
      </c>
      <c r="H97" s="33" t="str">
        <f aca="false">IF(OR(B97="",AND(A97=A96 ,B97=B96)),"",SUMIFS($F$5:$F$504,$A$5:$A$504,A97,$B$5:$B$504,B97))</f>
        <v/>
      </c>
      <c r="I97" s="34"/>
      <c r="J97" s="35"/>
    </row>
    <row r="98" customFormat="false" ht="15" hidden="false" customHeight="false" outlineLevel="0" collapsed="false">
      <c r="A98" s="32"/>
      <c r="B98" s="29"/>
      <c r="C98" s="29"/>
      <c r="D98" s="25"/>
      <c r="E98" s="25"/>
      <c r="F98" s="25"/>
      <c r="G98" s="33" t="str">
        <f aca="false">IF(OR(B98="",AND(A98=A97 ,B98=B97)),"",SUMIFS($D$5:$D$504,$A$5:$A$504,A98,$B$5:$B$504,B98)+SUMIFS($E$5:$E$504,$A$5:$A$504,A98,$B$5:$B$504,B98)-SUMIFS($F$5:$F$504,$A$5:$A$504,A98,$B$5:$B$504,B98))</f>
        <v/>
      </c>
      <c r="H98" s="33" t="str">
        <f aca="false">IF(OR(B98="",AND(A98=A97 ,B98=B97)),"",SUMIFS($F$5:$F$504,$A$5:$A$504,A98,$B$5:$B$504,B98))</f>
        <v/>
      </c>
      <c r="I98" s="34"/>
      <c r="J98" s="35"/>
    </row>
    <row r="99" customFormat="false" ht="15" hidden="false" customHeight="false" outlineLevel="0" collapsed="false">
      <c r="A99" s="32"/>
      <c r="B99" s="29"/>
      <c r="C99" s="29"/>
      <c r="D99" s="25"/>
      <c r="E99" s="25"/>
      <c r="F99" s="25"/>
      <c r="G99" s="33" t="str">
        <f aca="false">IF(OR(B99="",AND(A99=A98 ,B99=B98)),"",SUMIFS($D$5:$D$504,$A$5:$A$504,A99,$B$5:$B$504,B99)+SUMIFS($E$5:$E$504,$A$5:$A$504,A99,$B$5:$B$504,B99)-SUMIFS($F$5:$F$504,$A$5:$A$504,A99,$B$5:$B$504,B99))</f>
        <v/>
      </c>
      <c r="H99" s="33" t="str">
        <f aca="false">IF(OR(B99="",AND(A99=A98 ,B99=B98)),"",SUMIFS($F$5:$F$504,$A$5:$A$504,A99,$B$5:$B$504,B99))</f>
        <v/>
      </c>
      <c r="I99" s="34"/>
      <c r="J99" s="35"/>
    </row>
    <row r="100" customFormat="false" ht="15" hidden="false" customHeight="false" outlineLevel="0" collapsed="false">
      <c r="A100" s="32"/>
      <c r="B100" s="29"/>
      <c r="C100" s="29"/>
      <c r="D100" s="25"/>
      <c r="E100" s="25"/>
      <c r="F100" s="25"/>
      <c r="G100" s="33" t="str">
        <f aca="false">IF(OR(B100="",AND(A100=A99 ,B100=B99)),"",SUMIFS($D$5:$D$504,$A$5:$A$504,A100,$B$5:$B$504,B100)+SUMIFS($E$5:$E$504,$A$5:$A$504,A100,$B$5:$B$504,B100)-SUMIFS($F$5:$F$504,$A$5:$A$504,A100,$B$5:$B$504,B100))</f>
        <v/>
      </c>
      <c r="H100" s="33" t="str">
        <f aca="false">IF(OR(B100="",AND(A100=A99 ,B100=B99)),"",SUMIFS($F$5:$F$504,$A$5:$A$504,A100,$B$5:$B$504,B100))</f>
        <v/>
      </c>
      <c r="I100" s="34"/>
      <c r="J100" s="35"/>
    </row>
    <row r="101" customFormat="false" ht="15" hidden="false" customHeight="false" outlineLevel="0" collapsed="false">
      <c r="A101" s="32"/>
      <c r="B101" s="29"/>
      <c r="C101" s="29"/>
      <c r="D101" s="25"/>
      <c r="E101" s="25"/>
      <c r="F101" s="25"/>
      <c r="G101" s="33" t="str">
        <f aca="false">IF(OR(B101="",AND(A101=A100 ,B101=B100)),"",SUMIFS($D$5:$D$504,$A$5:$A$504,A101,$B$5:$B$504,B101)+SUMIFS($E$5:$E$504,$A$5:$A$504,A101,$B$5:$B$504,B101)-SUMIFS($F$5:$F$504,$A$5:$A$504,A101,$B$5:$B$504,B101))</f>
        <v/>
      </c>
      <c r="H101" s="33" t="str">
        <f aca="false">IF(OR(B101="",AND(A101=A100 ,B101=B100)),"",SUMIFS($F$5:$F$504,$A$5:$A$504,A101,$B$5:$B$504,B101))</f>
        <v/>
      </c>
      <c r="I101" s="34"/>
      <c r="J101" s="35"/>
    </row>
    <row r="102" customFormat="false" ht="15" hidden="false" customHeight="false" outlineLevel="0" collapsed="false">
      <c r="A102" s="32"/>
      <c r="B102" s="29"/>
      <c r="C102" s="29"/>
      <c r="D102" s="25"/>
      <c r="E102" s="25"/>
      <c r="F102" s="25"/>
      <c r="G102" s="33" t="str">
        <f aca="false">IF(OR(B102="",AND(A102=A101 ,B102=B101)),"",SUMIFS($D$5:$D$504,$A$5:$A$504,A102,$B$5:$B$504,B102)+SUMIFS($E$5:$E$504,$A$5:$A$504,A102,$B$5:$B$504,B102)-SUMIFS($F$5:$F$504,$A$5:$A$504,A102,$B$5:$B$504,B102))</f>
        <v/>
      </c>
      <c r="H102" s="33" t="str">
        <f aca="false">IF(OR(B102="",AND(A102=A101 ,B102=B101)),"",SUMIFS($F$5:$F$504,$A$5:$A$504,A102,$B$5:$B$504,B102))</f>
        <v/>
      </c>
      <c r="I102" s="34"/>
      <c r="J102" s="35"/>
    </row>
    <row r="103" customFormat="false" ht="15" hidden="false" customHeight="false" outlineLevel="0" collapsed="false">
      <c r="A103" s="32"/>
      <c r="B103" s="29"/>
      <c r="C103" s="29"/>
      <c r="D103" s="25"/>
      <c r="E103" s="25"/>
      <c r="F103" s="25"/>
      <c r="G103" s="33" t="str">
        <f aca="false">IF(OR(B103="",AND(A103=A102 ,B103=B102)),"",SUMIFS($D$5:$D$504,$A$5:$A$504,A103,$B$5:$B$504,B103)+SUMIFS($E$5:$E$504,$A$5:$A$504,A103,$B$5:$B$504,B103)-SUMIFS($F$5:$F$504,$A$5:$A$504,A103,$B$5:$B$504,B103))</f>
        <v/>
      </c>
      <c r="H103" s="33" t="str">
        <f aca="false">IF(OR(B103="",AND(A103=A102 ,B103=B102)),"",SUMIFS($F$5:$F$504,$A$5:$A$504,A103,$B$5:$B$504,B103))</f>
        <v/>
      </c>
      <c r="I103" s="34"/>
      <c r="J103" s="35"/>
    </row>
    <row r="104" customFormat="false" ht="15" hidden="false" customHeight="false" outlineLevel="0" collapsed="false">
      <c r="A104" s="32"/>
      <c r="B104" s="29"/>
      <c r="C104" s="29"/>
      <c r="D104" s="25"/>
      <c r="E104" s="25"/>
      <c r="F104" s="25"/>
      <c r="G104" s="33" t="str">
        <f aca="false">IF(OR(B104="",AND(A104=A103 ,B104=B103)),"",SUMIFS($D$5:$D$504,$A$5:$A$504,A104,$B$5:$B$504,B104)+SUMIFS($E$5:$E$504,$A$5:$A$504,A104,$B$5:$B$504,B104)-SUMIFS($F$5:$F$504,$A$5:$A$504,A104,$B$5:$B$504,B104))</f>
        <v/>
      </c>
      <c r="H104" s="33" t="str">
        <f aca="false">IF(OR(B104="",AND(A104=A103 ,B104=B103)),"",SUMIFS($F$5:$F$504,$A$5:$A$504,A104,$B$5:$B$504,B104))</f>
        <v/>
      </c>
      <c r="I104" s="34"/>
      <c r="J104" s="35"/>
    </row>
    <row r="105" customFormat="false" ht="15" hidden="false" customHeight="false" outlineLevel="0" collapsed="false">
      <c r="A105" s="32"/>
      <c r="B105" s="29"/>
      <c r="C105" s="29"/>
      <c r="D105" s="25"/>
      <c r="E105" s="25"/>
      <c r="F105" s="25"/>
      <c r="G105" s="33" t="str">
        <f aca="false">IF(OR(B105="",AND(A105=A104 ,B105=B104)),"",SUMIFS($D$5:$D$504,$A$5:$A$504,A105,$B$5:$B$504,B105)+SUMIFS($E$5:$E$504,$A$5:$A$504,A105,$B$5:$B$504,B105)-SUMIFS($F$5:$F$504,$A$5:$A$504,A105,$B$5:$B$504,B105))</f>
        <v/>
      </c>
      <c r="H105" s="33" t="str">
        <f aca="false">IF(OR(B105="",AND(A105=A104 ,B105=B104)),"",SUMIFS($F$5:$F$504,$A$5:$A$504,A105,$B$5:$B$504,B105))</f>
        <v/>
      </c>
      <c r="I105" s="34"/>
      <c r="J105" s="35"/>
    </row>
    <row r="106" customFormat="false" ht="15" hidden="false" customHeight="false" outlineLevel="0" collapsed="false">
      <c r="A106" s="32"/>
      <c r="B106" s="29"/>
      <c r="C106" s="29"/>
      <c r="D106" s="25"/>
      <c r="E106" s="25"/>
      <c r="F106" s="25"/>
      <c r="G106" s="33" t="str">
        <f aca="false">IF(OR(B106="",AND(A106=A105 ,B106=B105)),"",SUMIFS($D$5:$D$504,$A$5:$A$504,A106,$B$5:$B$504,B106)+SUMIFS($E$5:$E$504,$A$5:$A$504,A106,$B$5:$B$504,B106)-SUMIFS($F$5:$F$504,$A$5:$A$504,A106,$B$5:$B$504,B106))</f>
        <v/>
      </c>
      <c r="H106" s="33" t="str">
        <f aca="false">IF(OR(B106="",AND(A106=A105 ,B106=B105)),"",SUMIFS($F$5:$F$504,$A$5:$A$504,A106,$B$5:$B$504,B106))</f>
        <v/>
      </c>
      <c r="I106" s="34"/>
      <c r="J106" s="35"/>
    </row>
    <row r="107" customFormat="false" ht="15" hidden="false" customHeight="false" outlineLevel="0" collapsed="false">
      <c r="A107" s="32"/>
      <c r="B107" s="29"/>
      <c r="C107" s="29"/>
      <c r="D107" s="25"/>
      <c r="E107" s="25"/>
      <c r="F107" s="25"/>
      <c r="G107" s="33" t="str">
        <f aca="false">IF(OR(B107="",AND(A107=A106 ,B107=B106)),"",SUMIFS($D$5:$D$504,$A$5:$A$504,A107,$B$5:$B$504,B107)+SUMIFS($E$5:$E$504,$A$5:$A$504,A107,$B$5:$B$504,B107)-SUMIFS($F$5:$F$504,$A$5:$A$504,A107,$B$5:$B$504,B107))</f>
        <v/>
      </c>
      <c r="H107" s="33" t="str">
        <f aca="false">IF(OR(B107="",AND(A107=A106 ,B107=B106)),"",SUMIFS($F$5:$F$504,$A$5:$A$504,A107,$B$5:$B$504,B107))</f>
        <v/>
      </c>
      <c r="I107" s="34"/>
      <c r="J107" s="35"/>
    </row>
    <row r="108" customFormat="false" ht="15" hidden="false" customHeight="false" outlineLevel="0" collapsed="false">
      <c r="A108" s="32"/>
      <c r="B108" s="29"/>
      <c r="C108" s="29"/>
      <c r="D108" s="25"/>
      <c r="E108" s="25"/>
      <c r="F108" s="25"/>
      <c r="G108" s="33" t="str">
        <f aca="false">IF(OR(B108="",AND(A108=A107 ,B108=B107)),"",SUMIFS($D$5:$D$504,$A$5:$A$504,A108,$B$5:$B$504,B108)+SUMIFS($E$5:$E$504,$A$5:$A$504,A108,$B$5:$B$504,B108)-SUMIFS($F$5:$F$504,$A$5:$A$504,A108,$B$5:$B$504,B108))</f>
        <v/>
      </c>
      <c r="H108" s="33" t="str">
        <f aca="false">IF(OR(B108="",AND(A108=A107 ,B108=B107)),"",SUMIFS($F$5:$F$504,$A$5:$A$504,A108,$B$5:$B$504,B108))</f>
        <v/>
      </c>
      <c r="I108" s="34"/>
      <c r="J108" s="35"/>
    </row>
    <row r="109" customFormat="false" ht="15" hidden="false" customHeight="false" outlineLevel="0" collapsed="false">
      <c r="A109" s="32"/>
      <c r="B109" s="29"/>
      <c r="C109" s="29"/>
      <c r="D109" s="25"/>
      <c r="E109" s="25"/>
      <c r="F109" s="25"/>
      <c r="G109" s="33" t="str">
        <f aca="false">IF(OR(B109="",AND(A109=A108 ,B109=B108)),"",SUMIFS($D$5:$D$504,$A$5:$A$504,A109,$B$5:$B$504,B109)+SUMIFS($E$5:$E$504,$A$5:$A$504,A109,$B$5:$B$504,B109)-SUMIFS($F$5:$F$504,$A$5:$A$504,A109,$B$5:$B$504,B109))</f>
        <v/>
      </c>
      <c r="H109" s="33" t="str">
        <f aca="false">IF(OR(B109="",AND(A109=A108 ,B109=B108)),"",SUMIFS($F$5:$F$504,$A$5:$A$504,A109,$B$5:$B$504,B109))</f>
        <v/>
      </c>
      <c r="I109" s="34"/>
      <c r="J109" s="35"/>
    </row>
    <row r="110" customFormat="false" ht="15" hidden="false" customHeight="false" outlineLevel="0" collapsed="false">
      <c r="A110" s="32"/>
      <c r="B110" s="29"/>
      <c r="C110" s="29"/>
      <c r="D110" s="25"/>
      <c r="E110" s="25"/>
      <c r="F110" s="25"/>
      <c r="G110" s="33" t="str">
        <f aca="false">IF(OR(B110="",AND(A110=A109 ,B110=B109)),"",SUMIFS($D$5:$D$504,$A$5:$A$504,A110,$B$5:$B$504,B110)+SUMIFS($E$5:$E$504,$A$5:$A$504,A110,$B$5:$B$504,B110)-SUMIFS($F$5:$F$504,$A$5:$A$504,A110,$B$5:$B$504,B110))</f>
        <v/>
      </c>
      <c r="H110" s="33" t="str">
        <f aca="false">IF(OR(B110="",AND(A110=A109 ,B110=B109)),"",SUMIFS($F$5:$F$504,$A$5:$A$504,A110,$B$5:$B$504,B110))</f>
        <v/>
      </c>
      <c r="I110" s="34"/>
      <c r="J110" s="35"/>
    </row>
    <row r="111" customFormat="false" ht="15" hidden="false" customHeight="false" outlineLevel="0" collapsed="false">
      <c r="A111" s="32"/>
      <c r="B111" s="29"/>
      <c r="C111" s="29"/>
      <c r="D111" s="25"/>
      <c r="E111" s="25"/>
      <c r="F111" s="25"/>
      <c r="G111" s="33" t="str">
        <f aca="false">IF(OR(B111="",AND(A111=A110 ,B111=B110)),"",SUMIFS($D$5:$D$504,$A$5:$A$504,A111,$B$5:$B$504,B111)+SUMIFS($E$5:$E$504,$A$5:$A$504,A111,$B$5:$B$504,B111)-SUMIFS($F$5:$F$504,$A$5:$A$504,A111,$B$5:$B$504,B111))</f>
        <v/>
      </c>
      <c r="H111" s="33" t="str">
        <f aca="false">IF(OR(B111="",AND(A111=A110 ,B111=B110)),"",SUMIFS($F$5:$F$504,$A$5:$A$504,A111,$B$5:$B$504,B111))</f>
        <v/>
      </c>
      <c r="I111" s="34"/>
      <c r="J111" s="35"/>
    </row>
    <row r="112" customFormat="false" ht="15" hidden="false" customHeight="false" outlineLevel="0" collapsed="false">
      <c r="A112" s="32"/>
      <c r="B112" s="29"/>
      <c r="C112" s="29"/>
      <c r="D112" s="25"/>
      <c r="E112" s="25"/>
      <c r="F112" s="25"/>
      <c r="G112" s="33" t="str">
        <f aca="false">IF(OR(B112="",AND(A112=A111 ,B112=B111)),"",SUMIFS($D$5:$D$504,$A$5:$A$504,A112,$B$5:$B$504,B112)+SUMIFS($E$5:$E$504,$A$5:$A$504,A112,$B$5:$B$504,B112)-SUMIFS($F$5:$F$504,$A$5:$A$504,A112,$B$5:$B$504,B112))</f>
        <v/>
      </c>
      <c r="H112" s="33" t="str">
        <f aca="false">IF(OR(B112="",AND(A112=A111 ,B112=B111)),"",SUMIFS($F$5:$F$504,$A$5:$A$504,A112,$B$5:$B$504,B112))</f>
        <v/>
      </c>
      <c r="I112" s="34"/>
      <c r="J112" s="35"/>
    </row>
    <row r="113" customFormat="false" ht="15" hidden="false" customHeight="false" outlineLevel="0" collapsed="false">
      <c r="A113" s="32"/>
      <c r="B113" s="29"/>
      <c r="C113" s="29"/>
      <c r="D113" s="25"/>
      <c r="E113" s="25"/>
      <c r="F113" s="25"/>
      <c r="G113" s="33" t="str">
        <f aca="false">IF(OR(B113="",AND(A113=A112 ,B113=B112)),"",SUMIFS($D$5:$D$504,$A$5:$A$504,A113,$B$5:$B$504,B113)+SUMIFS($E$5:$E$504,$A$5:$A$504,A113,$B$5:$B$504,B113)-SUMIFS($F$5:$F$504,$A$5:$A$504,A113,$B$5:$B$504,B113))</f>
        <v/>
      </c>
      <c r="H113" s="33" t="str">
        <f aca="false">IF(OR(B113="",AND(A113=A112 ,B113=B112)),"",SUMIFS($F$5:$F$504,$A$5:$A$504,A113,$B$5:$B$504,B113))</f>
        <v/>
      </c>
      <c r="I113" s="34"/>
      <c r="J113" s="35"/>
    </row>
    <row r="114" customFormat="false" ht="15" hidden="false" customHeight="false" outlineLevel="0" collapsed="false">
      <c r="A114" s="32"/>
      <c r="B114" s="29"/>
      <c r="C114" s="29"/>
      <c r="D114" s="25"/>
      <c r="E114" s="25"/>
      <c r="F114" s="25"/>
      <c r="G114" s="33" t="str">
        <f aca="false">IF(OR(B114="",AND(A114=A113 ,B114=B113)),"",SUMIFS($D$5:$D$504,$A$5:$A$504,A114,$B$5:$B$504,B114)+SUMIFS($E$5:$E$504,$A$5:$A$504,A114,$B$5:$B$504,B114)-SUMIFS($F$5:$F$504,$A$5:$A$504,A114,$B$5:$B$504,B114))</f>
        <v/>
      </c>
      <c r="H114" s="33" t="str">
        <f aca="false">IF(OR(B114="",AND(A114=A113 ,B114=B113)),"",SUMIFS($F$5:$F$504,$A$5:$A$504,A114,$B$5:$B$504,B114))</f>
        <v/>
      </c>
      <c r="I114" s="34"/>
      <c r="J114" s="35"/>
    </row>
    <row r="115" customFormat="false" ht="15" hidden="false" customHeight="false" outlineLevel="0" collapsed="false">
      <c r="A115" s="32"/>
      <c r="B115" s="29"/>
      <c r="C115" s="29"/>
      <c r="D115" s="25"/>
      <c r="E115" s="25"/>
      <c r="F115" s="25"/>
      <c r="G115" s="33" t="str">
        <f aca="false">IF(OR(B115="",AND(A115=A114 ,B115=B114)),"",SUMIFS($D$5:$D$504,$A$5:$A$504,A115,$B$5:$B$504,B115)+SUMIFS($E$5:$E$504,$A$5:$A$504,A115,$B$5:$B$504,B115)-SUMIFS($F$5:$F$504,$A$5:$A$504,A115,$B$5:$B$504,B115))</f>
        <v/>
      </c>
      <c r="H115" s="33" t="str">
        <f aca="false">IF(OR(B115="",AND(A115=A114 ,B115=B114)),"",SUMIFS($F$5:$F$504,$A$5:$A$504,A115,$B$5:$B$504,B115))</f>
        <v/>
      </c>
      <c r="I115" s="34"/>
      <c r="J115" s="35"/>
    </row>
    <row r="116" customFormat="false" ht="15" hidden="false" customHeight="false" outlineLevel="0" collapsed="false">
      <c r="A116" s="32"/>
      <c r="B116" s="29"/>
      <c r="C116" s="29"/>
      <c r="D116" s="25"/>
      <c r="E116" s="25"/>
      <c r="F116" s="25"/>
      <c r="G116" s="33" t="str">
        <f aca="false">IF(OR(B116="",AND(A116=A115 ,B116=B115)),"",SUMIFS($D$5:$D$504,$A$5:$A$504,A116,$B$5:$B$504,B116)+SUMIFS($E$5:$E$504,$A$5:$A$504,A116,$B$5:$B$504,B116)-SUMIFS($F$5:$F$504,$A$5:$A$504,A116,$B$5:$B$504,B116))</f>
        <v/>
      </c>
      <c r="H116" s="33" t="str">
        <f aca="false">IF(OR(B116="",AND(A116=A115 ,B116=B115)),"",SUMIFS($F$5:$F$504,$A$5:$A$504,A116,$B$5:$B$504,B116))</f>
        <v/>
      </c>
      <c r="I116" s="34"/>
      <c r="J116" s="35"/>
    </row>
    <row r="117" customFormat="false" ht="15" hidden="false" customHeight="false" outlineLevel="0" collapsed="false">
      <c r="A117" s="32"/>
      <c r="B117" s="29"/>
      <c r="C117" s="29"/>
      <c r="D117" s="25"/>
      <c r="E117" s="25"/>
      <c r="F117" s="25"/>
      <c r="G117" s="33" t="str">
        <f aca="false">IF(OR(B117="",AND(A117=A116 ,B117=B116)),"",SUMIFS($D$5:$D$504,$A$5:$A$504,A117,$B$5:$B$504,B117)+SUMIFS($E$5:$E$504,$A$5:$A$504,A117,$B$5:$B$504,B117)-SUMIFS($F$5:$F$504,$A$5:$A$504,A117,$B$5:$B$504,B117))</f>
        <v/>
      </c>
      <c r="H117" s="33" t="str">
        <f aca="false">IF(OR(B117="",AND(A117=A116 ,B117=B116)),"",SUMIFS($F$5:$F$504,$A$5:$A$504,A117,$B$5:$B$504,B117))</f>
        <v/>
      </c>
      <c r="I117" s="34"/>
      <c r="J117" s="35"/>
    </row>
    <row r="118" customFormat="false" ht="15" hidden="false" customHeight="false" outlineLevel="0" collapsed="false">
      <c r="A118" s="32"/>
      <c r="B118" s="29"/>
      <c r="C118" s="29"/>
      <c r="D118" s="25"/>
      <c r="E118" s="25"/>
      <c r="F118" s="25"/>
      <c r="G118" s="33" t="str">
        <f aca="false">IF(OR(B118="",AND(A118=A117 ,B118=B117)),"",SUMIFS($D$5:$D$504,$A$5:$A$504,A118,$B$5:$B$504,B118)+SUMIFS($E$5:$E$504,$A$5:$A$504,A118,$B$5:$B$504,B118)-SUMIFS($F$5:$F$504,$A$5:$A$504,A118,$B$5:$B$504,B118))</f>
        <v/>
      </c>
      <c r="H118" s="33" t="str">
        <f aca="false">IF(OR(B118="",AND(A118=A117 ,B118=B117)),"",SUMIFS($F$5:$F$504,$A$5:$A$504,A118,$B$5:$B$504,B118))</f>
        <v/>
      </c>
      <c r="I118" s="34"/>
      <c r="J118" s="35"/>
    </row>
    <row r="119" customFormat="false" ht="15" hidden="false" customHeight="false" outlineLevel="0" collapsed="false">
      <c r="A119" s="32"/>
      <c r="B119" s="29"/>
      <c r="C119" s="29"/>
      <c r="D119" s="25"/>
      <c r="E119" s="25"/>
      <c r="F119" s="25"/>
      <c r="G119" s="33" t="str">
        <f aca="false">IF(OR(B119="",AND(A119=A118 ,B119=B118)),"",SUMIFS($D$5:$D$504,$A$5:$A$504,A119,$B$5:$B$504,B119)+SUMIFS($E$5:$E$504,$A$5:$A$504,A119,$B$5:$B$504,B119)-SUMIFS($F$5:$F$504,$A$5:$A$504,A119,$B$5:$B$504,B119))</f>
        <v/>
      </c>
      <c r="H119" s="33" t="str">
        <f aca="false">IF(OR(B119="",AND(A119=A118 ,B119=B118)),"",SUMIFS($F$5:$F$504,$A$5:$A$504,A119,$B$5:$B$504,B119))</f>
        <v/>
      </c>
      <c r="I119" s="34"/>
      <c r="J119" s="35"/>
    </row>
    <row r="120" customFormat="false" ht="15" hidden="false" customHeight="false" outlineLevel="0" collapsed="false">
      <c r="A120" s="32"/>
      <c r="B120" s="29"/>
      <c r="C120" s="29"/>
      <c r="D120" s="25"/>
      <c r="E120" s="25"/>
      <c r="F120" s="25"/>
      <c r="G120" s="33" t="str">
        <f aca="false">IF(OR(B120="",AND(A120=A119 ,B120=B119)),"",SUMIFS($D$5:$D$504,$A$5:$A$504,A120,$B$5:$B$504,B120)+SUMIFS($E$5:$E$504,$A$5:$A$504,A120,$B$5:$B$504,B120)-SUMIFS($F$5:$F$504,$A$5:$A$504,A120,$B$5:$B$504,B120))</f>
        <v/>
      </c>
      <c r="H120" s="33" t="str">
        <f aca="false">IF(OR(B120="",AND(A120=A119 ,B120=B119)),"",SUMIFS($F$5:$F$504,$A$5:$A$504,A120,$B$5:$B$504,B120))</f>
        <v/>
      </c>
      <c r="I120" s="34"/>
      <c r="J120" s="35"/>
    </row>
    <row r="121" customFormat="false" ht="15" hidden="false" customHeight="false" outlineLevel="0" collapsed="false">
      <c r="A121" s="32"/>
      <c r="B121" s="29"/>
      <c r="C121" s="29"/>
      <c r="D121" s="25"/>
      <c r="E121" s="25"/>
      <c r="F121" s="25"/>
      <c r="G121" s="33" t="str">
        <f aca="false">IF(OR(B121="",AND(A121=A120 ,B121=B120)),"",SUMIFS($D$5:$D$504,$A$5:$A$504,A121,$B$5:$B$504,B121)+SUMIFS($E$5:$E$504,$A$5:$A$504,A121,$B$5:$B$504,B121)-SUMIFS($F$5:$F$504,$A$5:$A$504,A121,$B$5:$B$504,B121))</f>
        <v/>
      </c>
      <c r="H121" s="33" t="str">
        <f aca="false">IF(OR(B121="",AND(A121=A120 ,B121=B120)),"",SUMIFS($F$5:$F$504,$A$5:$A$504,A121,$B$5:$B$504,B121))</f>
        <v/>
      </c>
      <c r="I121" s="34"/>
      <c r="J121" s="35"/>
    </row>
    <row r="122" customFormat="false" ht="15" hidden="false" customHeight="false" outlineLevel="0" collapsed="false">
      <c r="A122" s="32"/>
      <c r="B122" s="29"/>
      <c r="C122" s="29"/>
      <c r="D122" s="25"/>
      <c r="E122" s="25"/>
      <c r="F122" s="25"/>
      <c r="G122" s="33" t="str">
        <f aca="false">IF(OR(B122="",AND(A122=A121 ,B122=B121)),"",SUMIFS($D$5:$D$504,$A$5:$A$504,A122,$B$5:$B$504,B122)+SUMIFS($E$5:$E$504,$A$5:$A$504,A122,$B$5:$B$504,B122)-SUMIFS($F$5:$F$504,$A$5:$A$504,A122,$B$5:$B$504,B122))</f>
        <v/>
      </c>
      <c r="H122" s="33" t="str">
        <f aca="false">IF(OR(B122="",AND(A122=A121 ,B122=B121)),"",SUMIFS($F$5:$F$504,$A$5:$A$504,A122,$B$5:$B$504,B122))</f>
        <v/>
      </c>
      <c r="I122" s="34"/>
      <c r="J122" s="35"/>
    </row>
    <row r="123" customFormat="false" ht="15" hidden="false" customHeight="false" outlineLevel="0" collapsed="false">
      <c r="A123" s="32"/>
      <c r="B123" s="29"/>
      <c r="C123" s="29"/>
      <c r="D123" s="25"/>
      <c r="E123" s="25"/>
      <c r="F123" s="25"/>
      <c r="G123" s="33" t="str">
        <f aca="false">IF(OR(B123="",AND(A123=A122 ,B123=B122)),"",SUMIFS($D$5:$D$504,$A$5:$A$504,A123,$B$5:$B$504,B123)+SUMIFS($E$5:$E$504,$A$5:$A$504,A123,$B$5:$B$504,B123)-SUMIFS($F$5:$F$504,$A$5:$A$504,A123,$B$5:$B$504,B123))</f>
        <v/>
      </c>
      <c r="H123" s="33" t="str">
        <f aca="false">IF(OR(B123="",AND(A123=A122 ,B123=B122)),"",SUMIFS($F$5:$F$504,$A$5:$A$504,A123,$B$5:$B$504,B123))</f>
        <v/>
      </c>
      <c r="I123" s="34"/>
      <c r="J123" s="35"/>
    </row>
    <row r="124" customFormat="false" ht="15" hidden="false" customHeight="false" outlineLevel="0" collapsed="false">
      <c r="A124" s="32"/>
      <c r="B124" s="29"/>
      <c r="C124" s="29"/>
      <c r="D124" s="25"/>
      <c r="E124" s="25"/>
      <c r="F124" s="25"/>
      <c r="G124" s="33" t="str">
        <f aca="false">IF(OR(B124="",AND(A124=A123 ,B124=B123)),"",SUMIFS($D$5:$D$504,$A$5:$A$504,A124,$B$5:$B$504,B124)+SUMIFS($E$5:$E$504,$A$5:$A$504,A124,$B$5:$B$504,B124)-SUMIFS($F$5:$F$504,$A$5:$A$504,A124,$B$5:$B$504,B124))</f>
        <v/>
      </c>
      <c r="H124" s="33" t="str">
        <f aca="false">IF(OR(B124="",AND(A124=A123 ,B124=B123)),"",SUMIFS($F$5:$F$504,$A$5:$A$504,A124,$B$5:$B$504,B124))</f>
        <v/>
      </c>
      <c r="I124" s="34"/>
      <c r="J124" s="35"/>
    </row>
    <row r="125" customFormat="false" ht="15" hidden="false" customHeight="false" outlineLevel="0" collapsed="false">
      <c r="A125" s="32"/>
      <c r="B125" s="29"/>
      <c r="C125" s="29"/>
      <c r="D125" s="25"/>
      <c r="E125" s="25"/>
      <c r="F125" s="25"/>
      <c r="G125" s="33" t="str">
        <f aca="false">IF(OR(B125="",AND(A125=A124 ,B125=B124)),"",SUMIFS($D$5:$D$504,$A$5:$A$504,A125,$B$5:$B$504,B125)+SUMIFS($E$5:$E$504,$A$5:$A$504,A125,$B$5:$B$504,B125)-SUMIFS($F$5:$F$504,$A$5:$A$504,A125,$B$5:$B$504,B125))</f>
        <v/>
      </c>
      <c r="H125" s="33" t="str">
        <f aca="false">IF(OR(B125="",AND(A125=A124 ,B125=B124)),"",SUMIFS($F$5:$F$504,$A$5:$A$504,A125,$B$5:$B$504,B125))</f>
        <v/>
      </c>
      <c r="I125" s="34"/>
      <c r="J125" s="35"/>
    </row>
    <row r="126" customFormat="false" ht="15" hidden="false" customHeight="false" outlineLevel="0" collapsed="false">
      <c r="A126" s="32"/>
      <c r="B126" s="29"/>
      <c r="C126" s="29"/>
      <c r="D126" s="25"/>
      <c r="E126" s="25"/>
      <c r="F126" s="25"/>
      <c r="G126" s="33" t="str">
        <f aca="false">IF(OR(B126="",AND(A126=A125 ,B126=B125)),"",SUMIFS($D$5:$D$504,$A$5:$A$504,A126,$B$5:$B$504,B126)+SUMIFS($E$5:$E$504,$A$5:$A$504,A126,$B$5:$B$504,B126)-SUMIFS($F$5:$F$504,$A$5:$A$504,A126,$B$5:$B$504,B126))</f>
        <v/>
      </c>
      <c r="H126" s="33" t="str">
        <f aca="false">IF(OR(B126="",AND(A126=A125 ,B126=B125)),"",SUMIFS($F$5:$F$504,$A$5:$A$504,A126,$B$5:$B$504,B126))</f>
        <v/>
      </c>
      <c r="I126" s="34"/>
      <c r="J126" s="35"/>
    </row>
    <row r="127" customFormat="false" ht="15" hidden="false" customHeight="false" outlineLevel="0" collapsed="false">
      <c r="A127" s="32"/>
      <c r="B127" s="29"/>
      <c r="C127" s="29"/>
      <c r="D127" s="25"/>
      <c r="E127" s="25"/>
      <c r="F127" s="25"/>
      <c r="G127" s="33" t="str">
        <f aca="false">IF(OR(B127="",AND(A127=A126 ,B127=B126)),"",SUMIFS($D$5:$D$504,$A$5:$A$504,A127,$B$5:$B$504,B127)+SUMIFS($E$5:$E$504,$A$5:$A$504,A127,$B$5:$B$504,B127)-SUMIFS($F$5:$F$504,$A$5:$A$504,A127,$B$5:$B$504,B127))</f>
        <v/>
      </c>
      <c r="H127" s="33" t="str">
        <f aca="false">IF(OR(B127="",AND(A127=A126 ,B127=B126)),"",SUMIFS($F$5:$F$504,$A$5:$A$504,A127,$B$5:$B$504,B127))</f>
        <v/>
      </c>
      <c r="I127" s="34"/>
      <c r="J127" s="35"/>
    </row>
    <row r="128" customFormat="false" ht="15" hidden="false" customHeight="false" outlineLevel="0" collapsed="false">
      <c r="A128" s="32"/>
      <c r="B128" s="29"/>
      <c r="C128" s="29"/>
      <c r="D128" s="25"/>
      <c r="E128" s="25"/>
      <c r="F128" s="25"/>
      <c r="G128" s="33" t="str">
        <f aca="false">IF(OR(B128="",AND(A128=A127 ,B128=B127)),"",SUMIFS($D$5:$D$504,$A$5:$A$504,A128,$B$5:$B$504,B128)+SUMIFS($E$5:$E$504,$A$5:$A$504,A128,$B$5:$B$504,B128)-SUMIFS($F$5:$F$504,$A$5:$A$504,A128,$B$5:$B$504,B128))</f>
        <v/>
      </c>
      <c r="H128" s="33" t="str">
        <f aca="false">IF(OR(B128="",AND(A128=A127 ,B128=B127)),"",SUMIFS($F$5:$F$504,$A$5:$A$504,A128,$B$5:$B$504,B128))</f>
        <v/>
      </c>
      <c r="I128" s="34"/>
      <c r="J128" s="35"/>
    </row>
    <row r="129" customFormat="false" ht="15" hidden="false" customHeight="false" outlineLevel="0" collapsed="false">
      <c r="A129" s="32"/>
      <c r="B129" s="29"/>
      <c r="C129" s="29"/>
      <c r="D129" s="25"/>
      <c r="E129" s="25"/>
      <c r="F129" s="25"/>
      <c r="G129" s="33" t="str">
        <f aca="false">IF(OR(B129="",AND(A129=A128 ,B129=B128)),"",SUMIFS($D$5:$D$504,$A$5:$A$504,A129,$B$5:$B$504,B129)+SUMIFS($E$5:$E$504,$A$5:$A$504,A129,$B$5:$B$504,B129)-SUMIFS($F$5:$F$504,$A$5:$A$504,A129,$B$5:$B$504,B129))</f>
        <v/>
      </c>
      <c r="H129" s="33" t="str">
        <f aca="false">IF(OR(B129="",AND(A129=A128 ,B129=B128)),"",SUMIFS($F$5:$F$504,$A$5:$A$504,A129,$B$5:$B$504,B129))</f>
        <v/>
      </c>
      <c r="I129" s="34"/>
      <c r="J129" s="35"/>
    </row>
    <row r="130" customFormat="false" ht="15" hidden="false" customHeight="false" outlineLevel="0" collapsed="false">
      <c r="A130" s="32"/>
      <c r="B130" s="29"/>
      <c r="C130" s="29"/>
      <c r="D130" s="25"/>
      <c r="E130" s="25"/>
      <c r="F130" s="25"/>
      <c r="G130" s="33" t="str">
        <f aca="false">IF(OR(B130="",AND(A130=A129 ,B130=B129)),"",SUMIFS($D$5:$D$504,$A$5:$A$504,A130,$B$5:$B$504,B130)+SUMIFS($E$5:$E$504,$A$5:$A$504,A130,$B$5:$B$504,B130)-SUMIFS($F$5:$F$504,$A$5:$A$504,A130,$B$5:$B$504,B130))</f>
        <v/>
      </c>
      <c r="H130" s="33" t="str">
        <f aca="false">IF(OR(B130="",AND(A130=A129 ,B130=B129)),"",SUMIFS($F$5:$F$504,$A$5:$A$504,A130,$B$5:$B$504,B130))</f>
        <v/>
      </c>
      <c r="I130" s="34"/>
      <c r="J130" s="35"/>
    </row>
    <row r="131" customFormat="false" ht="15" hidden="false" customHeight="false" outlineLevel="0" collapsed="false">
      <c r="A131" s="32"/>
      <c r="B131" s="29"/>
      <c r="C131" s="29"/>
      <c r="D131" s="25"/>
      <c r="E131" s="25"/>
      <c r="F131" s="25"/>
      <c r="G131" s="33" t="str">
        <f aca="false">IF(OR(B131="",AND(A131=A130 ,B131=B130)),"",SUMIFS($D$5:$D$504,$A$5:$A$504,A131,$B$5:$B$504,B131)+SUMIFS($E$5:$E$504,$A$5:$A$504,A131,$B$5:$B$504,B131)-SUMIFS($F$5:$F$504,$A$5:$A$504,A131,$B$5:$B$504,B131))</f>
        <v/>
      </c>
      <c r="H131" s="33" t="str">
        <f aca="false">IF(OR(B131="",AND(A131=A130 ,B131=B130)),"",SUMIFS($F$5:$F$504,$A$5:$A$504,A131,$B$5:$B$504,B131))</f>
        <v/>
      </c>
      <c r="I131" s="34"/>
      <c r="J131" s="35"/>
    </row>
    <row r="132" customFormat="false" ht="15" hidden="false" customHeight="false" outlineLevel="0" collapsed="false">
      <c r="A132" s="32"/>
      <c r="B132" s="29"/>
      <c r="C132" s="29"/>
      <c r="D132" s="25"/>
      <c r="E132" s="25"/>
      <c r="F132" s="25"/>
      <c r="G132" s="33" t="str">
        <f aca="false">IF(OR(B132="",AND(A132=A131 ,B132=B131)),"",SUMIFS($D$5:$D$504,$A$5:$A$504,A132,$B$5:$B$504,B132)+SUMIFS($E$5:$E$504,$A$5:$A$504,A132,$B$5:$B$504,B132)-SUMIFS($F$5:$F$504,$A$5:$A$504,A132,$B$5:$B$504,B132))</f>
        <v/>
      </c>
      <c r="H132" s="33" t="str">
        <f aca="false">IF(OR(B132="",AND(A132=A131 ,B132=B131)),"",SUMIFS($F$5:$F$504,$A$5:$A$504,A132,$B$5:$B$504,B132))</f>
        <v/>
      </c>
      <c r="I132" s="34"/>
      <c r="J132" s="35"/>
    </row>
    <row r="133" customFormat="false" ht="15" hidden="false" customHeight="false" outlineLevel="0" collapsed="false">
      <c r="A133" s="32"/>
      <c r="B133" s="29"/>
      <c r="C133" s="29"/>
      <c r="D133" s="25"/>
      <c r="E133" s="25"/>
      <c r="F133" s="25"/>
      <c r="G133" s="33" t="str">
        <f aca="false">IF(OR(B133="",AND(A133=A132 ,B133=B132)),"",SUMIFS($D$5:$D$504,$A$5:$A$504,A133,$B$5:$B$504,B133)+SUMIFS($E$5:$E$504,$A$5:$A$504,A133,$B$5:$B$504,B133)-SUMIFS($F$5:$F$504,$A$5:$A$504,A133,$B$5:$B$504,B133))</f>
        <v/>
      </c>
      <c r="H133" s="33" t="str">
        <f aca="false">IF(OR(B133="",AND(A133=A132 ,B133=B132)),"",SUMIFS($F$5:$F$504,$A$5:$A$504,A133,$B$5:$B$504,B133))</f>
        <v/>
      </c>
      <c r="I133" s="34"/>
      <c r="J133" s="35"/>
    </row>
    <row r="134" customFormat="false" ht="15" hidden="false" customHeight="false" outlineLevel="0" collapsed="false">
      <c r="A134" s="32"/>
      <c r="B134" s="29"/>
      <c r="C134" s="29"/>
      <c r="D134" s="25"/>
      <c r="E134" s="25"/>
      <c r="F134" s="25"/>
      <c r="G134" s="33" t="str">
        <f aca="false">IF(OR(B134="",AND(A134=A133 ,B134=B133)),"",SUMIFS($D$5:$D$504,$A$5:$A$504,A134,$B$5:$B$504,B134)+SUMIFS($E$5:$E$504,$A$5:$A$504,A134,$B$5:$B$504,B134)-SUMIFS($F$5:$F$504,$A$5:$A$504,A134,$B$5:$B$504,B134))</f>
        <v/>
      </c>
      <c r="H134" s="33" t="str">
        <f aca="false">IF(OR(B134="",AND(A134=A133 ,B134=B133)),"",SUMIFS($F$5:$F$504,$A$5:$A$504,A134,$B$5:$B$504,B134))</f>
        <v/>
      </c>
      <c r="I134" s="34"/>
      <c r="J134" s="35"/>
    </row>
    <row r="135" customFormat="false" ht="15" hidden="false" customHeight="false" outlineLevel="0" collapsed="false">
      <c r="A135" s="32"/>
      <c r="B135" s="29"/>
      <c r="C135" s="29"/>
      <c r="D135" s="25"/>
      <c r="E135" s="25"/>
      <c r="F135" s="25"/>
      <c r="G135" s="33" t="str">
        <f aca="false">IF(OR(B135="",AND(A135=A134 ,B135=B134)),"",SUMIFS($D$5:$D$504,$A$5:$A$504,A135,$B$5:$B$504,B135)+SUMIFS($E$5:$E$504,$A$5:$A$504,A135,$B$5:$B$504,B135)-SUMIFS($F$5:$F$504,$A$5:$A$504,A135,$B$5:$B$504,B135))</f>
        <v/>
      </c>
      <c r="H135" s="33" t="str">
        <f aca="false">IF(OR(B135="",AND(A135=A134 ,B135=B134)),"",SUMIFS($F$5:$F$504,$A$5:$A$504,A135,$B$5:$B$504,B135))</f>
        <v/>
      </c>
      <c r="I135" s="34"/>
      <c r="J135" s="35"/>
    </row>
    <row r="136" customFormat="false" ht="15" hidden="false" customHeight="false" outlineLevel="0" collapsed="false">
      <c r="A136" s="32"/>
      <c r="B136" s="29"/>
      <c r="C136" s="29"/>
      <c r="D136" s="25"/>
      <c r="E136" s="25"/>
      <c r="F136" s="25"/>
      <c r="G136" s="33" t="str">
        <f aca="false">IF(OR(B136="",AND(A136=A135 ,B136=B135)),"",SUMIFS($D$5:$D$504,$A$5:$A$504,A136,$B$5:$B$504,B136)+SUMIFS($E$5:$E$504,$A$5:$A$504,A136,$B$5:$B$504,B136)-SUMIFS($F$5:$F$504,$A$5:$A$504,A136,$B$5:$B$504,B136))</f>
        <v/>
      </c>
      <c r="H136" s="33" t="str">
        <f aca="false">IF(OR(B136="",AND(A136=A135 ,B136=B135)),"",SUMIFS($F$5:$F$504,$A$5:$A$504,A136,$B$5:$B$504,B136))</f>
        <v/>
      </c>
      <c r="I136" s="34"/>
      <c r="J136" s="35"/>
    </row>
    <row r="137" customFormat="false" ht="15" hidden="false" customHeight="false" outlineLevel="0" collapsed="false">
      <c r="A137" s="32"/>
      <c r="B137" s="29"/>
      <c r="C137" s="29"/>
      <c r="D137" s="25"/>
      <c r="E137" s="25"/>
      <c r="F137" s="25"/>
      <c r="G137" s="33" t="str">
        <f aca="false">IF(OR(B137="",AND(A137=A136 ,B137=B136)),"",SUMIFS($D$5:$D$504,$A$5:$A$504,A137,$B$5:$B$504,B137)+SUMIFS($E$5:$E$504,$A$5:$A$504,A137,$B$5:$B$504,B137)-SUMIFS($F$5:$F$504,$A$5:$A$504,A137,$B$5:$B$504,B137))</f>
        <v/>
      </c>
      <c r="H137" s="33" t="str">
        <f aca="false">IF(OR(B137="",AND(A137=A136 ,B137=B136)),"",SUMIFS($F$5:$F$504,$A$5:$A$504,A137,$B$5:$B$504,B137))</f>
        <v/>
      </c>
      <c r="I137" s="34"/>
      <c r="J137" s="35"/>
    </row>
    <row r="138" customFormat="false" ht="15" hidden="false" customHeight="false" outlineLevel="0" collapsed="false">
      <c r="A138" s="32"/>
      <c r="B138" s="29"/>
      <c r="C138" s="29"/>
      <c r="D138" s="25"/>
      <c r="E138" s="25"/>
      <c r="F138" s="25"/>
      <c r="G138" s="33" t="str">
        <f aca="false">IF(OR(B138="",AND(A138=A137 ,B138=B137)),"",SUMIFS($D$5:$D$504,$A$5:$A$504,A138,$B$5:$B$504,B138)+SUMIFS($E$5:$E$504,$A$5:$A$504,A138,$B$5:$B$504,B138)-SUMIFS($F$5:$F$504,$A$5:$A$504,A138,$B$5:$B$504,B138))</f>
        <v/>
      </c>
      <c r="H138" s="33" t="str">
        <f aca="false">IF(OR(B138="",AND(A138=A137 ,B138=B137)),"",SUMIFS($F$5:$F$504,$A$5:$A$504,A138,$B$5:$B$504,B138))</f>
        <v/>
      </c>
      <c r="I138" s="34"/>
      <c r="J138" s="35"/>
    </row>
    <row r="139" customFormat="false" ht="15" hidden="false" customHeight="false" outlineLevel="0" collapsed="false">
      <c r="A139" s="32"/>
      <c r="B139" s="29"/>
      <c r="C139" s="29"/>
      <c r="D139" s="25"/>
      <c r="E139" s="25"/>
      <c r="F139" s="25"/>
      <c r="G139" s="33" t="str">
        <f aca="false">IF(OR(B139="",AND(A139=A138 ,B139=B138)),"",SUMIFS($D$5:$D$504,$A$5:$A$504,A139,$B$5:$B$504,B139)+SUMIFS($E$5:$E$504,$A$5:$A$504,A139,$B$5:$B$504,B139)-SUMIFS($F$5:$F$504,$A$5:$A$504,A139,$B$5:$B$504,B139))</f>
        <v/>
      </c>
      <c r="H139" s="33" t="str">
        <f aca="false">IF(OR(B139="",AND(A139=A138 ,B139=B138)),"",SUMIFS($F$5:$F$504,$A$5:$A$504,A139,$B$5:$B$504,B139))</f>
        <v/>
      </c>
      <c r="I139" s="34"/>
      <c r="J139" s="35"/>
    </row>
    <row r="140" customFormat="false" ht="15" hidden="false" customHeight="false" outlineLevel="0" collapsed="false">
      <c r="A140" s="32"/>
      <c r="B140" s="29"/>
      <c r="C140" s="29"/>
      <c r="D140" s="25"/>
      <c r="E140" s="25"/>
      <c r="F140" s="25"/>
      <c r="G140" s="33" t="str">
        <f aca="false">IF(OR(B140="",AND(A140=A139 ,B140=B139)),"",SUMIFS($D$5:$D$504,$A$5:$A$504,A140,$B$5:$B$504,B140)+SUMIFS($E$5:$E$504,$A$5:$A$504,A140,$B$5:$B$504,B140)-SUMIFS($F$5:$F$504,$A$5:$A$504,A140,$B$5:$B$504,B140))</f>
        <v/>
      </c>
      <c r="H140" s="33" t="str">
        <f aca="false">IF(OR(B140="",AND(A140=A139 ,B140=B139)),"",SUMIFS($F$5:$F$504,$A$5:$A$504,A140,$B$5:$B$504,B140))</f>
        <v/>
      </c>
      <c r="I140" s="34"/>
      <c r="J140" s="35"/>
    </row>
    <row r="141" customFormat="false" ht="15" hidden="false" customHeight="false" outlineLevel="0" collapsed="false">
      <c r="A141" s="32"/>
      <c r="B141" s="29"/>
      <c r="C141" s="29"/>
      <c r="D141" s="25"/>
      <c r="E141" s="25"/>
      <c r="F141" s="25"/>
      <c r="G141" s="33" t="str">
        <f aca="false">IF(OR(B141="",AND(A141=A140 ,B141=B140)),"",SUMIFS($D$5:$D$504,$A$5:$A$504,A141,$B$5:$B$504,B141)+SUMIFS($E$5:$E$504,$A$5:$A$504,A141,$B$5:$B$504,B141)-SUMIFS($F$5:$F$504,$A$5:$A$504,A141,$B$5:$B$504,B141))</f>
        <v/>
      </c>
      <c r="H141" s="33" t="str">
        <f aca="false">IF(OR(B141="",AND(A141=A140 ,B141=B140)),"",SUMIFS($F$5:$F$504,$A$5:$A$504,A141,$B$5:$B$504,B141))</f>
        <v/>
      </c>
      <c r="I141" s="34"/>
      <c r="J141" s="35"/>
    </row>
    <row r="142" customFormat="false" ht="15" hidden="false" customHeight="false" outlineLevel="0" collapsed="false">
      <c r="A142" s="32"/>
      <c r="B142" s="29"/>
      <c r="C142" s="29"/>
      <c r="D142" s="25"/>
      <c r="E142" s="25"/>
      <c r="F142" s="25"/>
      <c r="G142" s="33" t="str">
        <f aca="false">IF(OR(B142="",AND(A142=A141 ,B142=B141)),"",SUMIFS($D$5:$D$504,$A$5:$A$504,A142,$B$5:$B$504,B142)+SUMIFS($E$5:$E$504,$A$5:$A$504,A142,$B$5:$B$504,B142)-SUMIFS($F$5:$F$504,$A$5:$A$504,A142,$B$5:$B$504,B142))</f>
        <v/>
      </c>
      <c r="H142" s="33" t="str">
        <f aca="false">IF(OR(B142="",AND(A142=A141 ,B142=B141)),"",SUMIFS($F$5:$F$504,$A$5:$A$504,A142,$B$5:$B$504,B142))</f>
        <v/>
      </c>
      <c r="I142" s="34"/>
      <c r="J142" s="35"/>
    </row>
    <row r="143" customFormat="false" ht="15" hidden="false" customHeight="false" outlineLevel="0" collapsed="false">
      <c r="A143" s="32"/>
      <c r="B143" s="29"/>
      <c r="C143" s="29"/>
      <c r="D143" s="25"/>
      <c r="E143" s="25"/>
      <c r="F143" s="25"/>
      <c r="G143" s="33" t="str">
        <f aca="false">IF(OR(B143="",AND(A143=A142 ,B143=B142)),"",SUMIFS($D$5:$D$504,$A$5:$A$504,A143,$B$5:$B$504,B143)+SUMIFS($E$5:$E$504,$A$5:$A$504,A143,$B$5:$B$504,B143)-SUMIFS($F$5:$F$504,$A$5:$A$504,A143,$B$5:$B$504,B143))</f>
        <v/>
      </c>
      <c r="H143" s="33" t="str">
        <f aca="false">IF(OR(B143="",AND(A143=A142 ,B143=B142)),"",SUMIFS($F$5:$F$504,$A$5:$A$504,A143,$B$5:$B$504,B143))</f>
        <v/>
      </c>
      <c r="I143" s="34"/>
      <c r="J143" s="35"/>
    </row>
    <row r="144" customFormat="false" ht="15" hidden="false" customHeight="false" outlineLevel="0" collapsed="false">
      <c r="A144" s="32"/>
      <c r="B144" s="29"/>
      <c r="C144" s="29"/>
      <c r="D144" s="25"/>
      <c r="E144" s="25"/>
      <c r="F144" s="25"/>
      <c r="G144" s="33" t="str">
        <f aca="false">IF(OR(B144="",AND(A144=A143 ,B144=B143)),"",SUMIFS($D$5:$D$504,$A$5:$A$504,A144,$B$5:$B$504,B144)+SUMIFS($E$5:$E$504,$A$5:$A$504,A144,$B$5:$B$504,B144)-SUMIFS($F$5:$F$504,$A$5:$A$504,A144,$B$5:$B$504,B144))</f>
        <v/>
      </c>
      <c r="H144" s="33" t="str">
        <f aca="false">IF(OR(B144="",AND(A144=A143 ,B144=B143)),"",SUMIFS($F$5:$F$504,$A$5:$A$504,A144,$B$5:$B$504,B144))</f>
        <v/>
      </c>
      <c r="I144" s="34"/>
      <c r="J144" s="35"/>
    </row>
    <row r="145" customFormat="false" ht="15" hidden="false" customHeight="false" outlineLevel="0" collapsed="false">
      <c r="A145" s="32"/>
      <c r="B145" s="29"/>
      <c r="C145" s="29"/>
      <c r="D145" s="25"/>
      <c r="E145" s="25"/>
      <c r="F145" s="25"/>
      <c r="G145" s="33" t="str">
        <f aca="false">IF(OR(B145="",AND(A145=A144 ,B145=B144)),"",SUMIFS($D$5:$D$504,$A$5:$A$504,A145,$B$5:$B$504,B145)+SUMIFS($E$5:$E$504,$A$5:$A$504,A145,$B$5:$B$504,B145)-SUMIFS($F$5:$F$504,$A$5:$A$504,A145,$B$5:$B$504,B145))</f>
        <v/>
      </c>
      <c r="H145" s="33" t="str">
        <f aca="false">IF(OR(B145="",AND(A145=A144 ,B145=B144)),"",SUMIFS($F$5:$F$504,$A$5:$A$504,A145,$B$5:$B$504,B145))</f>
        <v/>
      </c>
      <c r="I145" s="34"/>
      <c r="J145" s="35"/>
    </row>
    <row r="146" customFormat="false" ht="15" hidden="false" customHeight="false" outlineLevel="0" collapsed="false">
      <c r="A146" s="32"/>
      <c r="B146" s="29"/>
      <c r="C146" s="29"/>
      <c r="D146" s="25"/>
      <c r="E146" s="25"/>
      <c r="F146" s="25"/>
      <c r="G146" s="33" t="str">
        <f aca="false">IF(OR(B146="",AND(A146=A145 ,B146=B145)),"",SUMIFS($D$5:$D$504,$A$5:$A$504,A146,$B$5:$B$504,B146)+SUMIFS($E$5:$E$504,$A$5:$A$504,A146,$B$5:$B$504,B146)-SUMIFS($F$5:$F$504,$A$5:$A$504,A146,$B$5:$B$504,B146))</f>
        <v/>
      </c>
      <c r="H146" s="33" t="str">
        <f aca="false">IF(OR(B146="",AND(A146=A145 ,B146=B145)),"",SUMIFS($F$5:$F$504,$A$5:$A$504,A146,$B$5:$B$504,B146))</f>
        <v/>
      </c>
      <c r="I146" s="34"/>
      <c r="J146" s="35"/>
    </row>
    <row r="147" customFormat="false" ht="15" hidden="false" customHeight="false" outlineLevel="0" collapsed="false">
      <c r="A147" s="32"/>
      <c r="B147" s="29"/>
      <c r="C147" s="29"/>
      <c r="D147" s="25"/>
      <c r="E147" s="25"/>
      <c r="F147" s="25"/>
      <c r="G147" s="33" t="str">
        <f aca="false">IF(OR(B147="",AND(A147=A146 ,B147=B146)),"",SUMIFS($D$5:$D$504,$A$5:$A$504,A147,$B$5:$B$504,B147)+SUMIFS($E$5:$E$504,$A$5:$A$504,A147,$B$5:$B$504,B147)-SUMIFS($F$5:$F$504,$A$5:$A$504,A147,$B$5:$B$504,B147))</f>
        <v/>
      </c>
      <c r="H147" s="33" t="str">
        <f aca="false">IF(OR(B147="",AND(A147=A146 ,B147=B146)),"",SUMIFS($F$5:$F$504,$A$5:$A$504,A147,$B$5:$B$504,B147))</f>
        <v/>
      </c>
      <c r="I147" s="34"/>
      <c r="J147" s="35"/>
    </row>
    <row r="148" customFormat="false" ht="15" hidden="false" customHeight="false" outlineLevel="0" collapsed="false">
      <c r="A148" s="32"/>
      <c r="B148" s="29"/>
      <c r="C148" s="29"/>
      <c r="D148" s="25"/>
      <c r="E148" s="25"/>
      <c r="F148" s="25"/>
      <c r="G148" s="33" t="str">
        <f aca="false">IF(OR(B148="",AND(A148=A147 ,B148=B147)),"",SUMIFS($D$5:$D$504,$A$5:$A$504,A148,$B$5:$B$504,B148)+SUMIFS($E$5:$E$504,$A$5:$A$504,A148,$B$5:$B$504,B148)-SUMIFS($F$5:$F$504,$A$5:$A$504,A148,$B$5:$B$504,B148))</f>
        <v/>
      </c>
      <c r="H148" s="33" t="str">
        <f aca="false">IF(OR(B148="",AND(A148=A147 ,B148=B147)),"",SUMIFS($F$5:$F$504,$A$5:$A$504,A148,$B$5:$B$504,B148))</f>
        <v/>
      </c>
      <c r="I148" s="34"/>
      <c r="J148" s="35"/>
    </row>
    <row r="149" customFormat="false" ht="15" hidden="false" customHeight="false" outlineLevel="0" collapsed="false">
      <c r="A149" s="32"/>
      <c r="B149" s="29"/>
      <c r="C149" s="29"/>
      <c r="D149" s="25"/>
      <c r="E149" s="25"/>
      <c r="F149" s="25"/>
      <c r="G149" s="33" t="str">
        <f aca="false">IF(OR(B149="",AND(A149=A148 ,B149=B148)),"",SUMIFS($D$5:$D$504,$A$5:$A$504,A149,$B$5:$B$504,B149)+SUMIFS($E$5:$E$504,$A$5:$A$504,A149,$B$5:$B$504,B149)-SUMIFS($F$5:$F$504,$A$5:$A$504,A149,$B$5:$B$504,B149))</f>
        <v/>
      </c>
      <c r="H149" s="33" t="str">
        <f aca="false">IF(OR(B149="",AND(A149=A148 ,B149=B148)),"",SUMIFS($F$5:$F$504,$A$5:$A$504,A149,$B$5:$B$504,B149))</f>
        <v/>
      </c>
      <c r="I149" s="34"/>
      <c r="J149" s="35"/>
    </row>
    <row r="150" customFormat="false" ht="15" hidden="false" customHeight="false" outlineLevel="0" collapsed="false">
      <c r="A150" s="32"/>
      <c r="B150" s="29"/>
      <c r="C150" s="29"/>
      <c r="D150" s="25"/>
      <c r="E150" s="25"/>
      <c r="F150" s="25"/>
      <c r="G150" s="33" t="str">
        <f aca="false">IF(OR(B150="",AND(A150=A149 ,B150=B149)),"",SUMIFS($D$5:$D$504,$A$5:$A$504,A150,$B$5:$B$504,B150)+SUMIFS($E$5:$E$504,$A$5:$A$504,A150,$B$5:$B$504,B150)-SUMIFS($F$5:$F$504,$A$5:$A$504,A150,$B$5:$B$504,B150))</f>
        <v/>
      </c>
      <c r="H150" s="33" t="str">
        <f aca="false">IF(OR(B150="",AND(A150=A149 ,B150=B149)),"",SUMIFS($F$5:$F$504,$A$5:$A$504,A150,$B$5:$B$504,B150))</f>
        <v/>
      </c>
      <c r="I150" s="34"/>
      <c r="J150" s="35"/>
    </row>
    <row r="151" customFormat="false" ht="15" hidden="false" customHeight="false" outlineLevel="0" collapsed="false">
      <c r="A151" s="32"/>
      <c r="B151" s="29"/>
      <c r="C151" s="29"/>
      <c r="D151" s="25"/>
      <c r="E151" s="25"/>
      <c r="F151" s="25"/>
      <c r="G151" s="33" t="str">
        <f aca="false">IF(OR(B151="",AND(A151=A150 ,B151=B150)),"",SUMIFS($D$5:$D$504,$A$5:$A$504,A151,$B$5:$B$504,B151)+SUMIFS($E$5:$E$504,$A$5:$A$504,A151,$B$5:$B$504,B151)-SUMIFS($F$5:$F$504,$A$5:$A$504,A151,$B$5:$B$504,B151))</f>
        <v/>
      </c>
      <c r="H151" s="33" t="str">
        <f aca="false">IF(OR(B151="",AND(A151=A150 ,B151=B150)),"",SUMIFS($F$5:$F$504,$A$5:$A$504,A151,$B$5:$B$504,B151))</f>
        <v/>
      </c>
      <c r="I151" s="34"/>
      <c r="J151" s="35"/>
    </row>
    <row r="152" customFormat="false" ht="15" hidden="false" customHeight="false" outlineLevel="0" collapsed="false">
      <c r="A152" s="32"/>
      <c r="B152" s="29"/>
      <c r="C152" s="29"/>
      <c r="D152" s="25"/>
      <c r="E152" s="25"/>
      <c r="F152" s="25"/>
      <c r="G152" s="33" t="str">
        <f aca="false">IF(OR(B152="",AND(A152=A151 ,B152=B151)),"",SUMIFS($D$5:$D$504,$A$5:$A$504,A152,$B$5:$B$504,B152)+SUMIFS($E$5:$E$504,$A$5:$A$504,A152,$B$5:$B$504,B152)-SUMIFS($F$5:$F$504,$A$5:$A$504,A152,$B$5:$B$504,B152))</f>
        <v/>
      </c>
      <c r="H152" s="33" t="str">
        <f aca="false">IF(OR(B152="",AND(A152=A151 ,B152=B151)),"",SUMIFS($F$5:$F$504,$A$5:$A$504,A152,$B$5:$B$504,B152))</f>
        <v/>
      </c>
      <c r="I152" s="34"/>
      <c r="J152" s="35"/>
    </row>
    <row r="153" customFormat="false" ht="15" hidden="false" customHeight="false" outlineLevel="0" collapsed="false">
      <c r="A153" s="32"/>
      <c r="B153" s="29"/>
      <c r="C153" s="29"/>
      <c r="D153" s="25"/>
      <c r="E153" s="25"/>
      <c r="F153" s="25"/>
      <c r="G153" s="33" t="str">
        <f aca="false">IF(OR(B153="",AND(A153=A152 ,B153=B152)),"",SUMIFS($D$5:$D$504,$A$5:$A$504,A153,$B$5:$B$504,B153)+SUMIFS($E$5:$E$504,$A$5:$A$504,A153,$B$5:$B$504,B153)-SUMIFS($F$5:$F$504,$A$5:$A$504,A153,$B$5:$B$504,B153))</f>
        <v/>
      </c>
      <c r="H153" s="33" t="str">
        <f aca="false">IF(OR(B153="",AND(A153=A152 ,B153=B152)),"",SUMIFS($F$5:$F$504,$A$5:$A$504,A153,$B$5:$B$504,B153))</f>
        <v/>
      </c>
      <c r="I153" s="34"/>
      <c r="J153" s="35"/>
    </row>
    <row r="154" customFormat="false" ht="15" hidden="false" customHeight="false" outlineLevel="0" collapsed="false">
      <c r="A154" s="32"/>
      <c r="B154" s="29"/>
      <c r="C154" s="29"/>
      <c r="D154" s="25"/>
      <c r="E154" s="25"/>
      <c r="F154" s="25"/>
      <c r="G154" s="33" t="str">
        <f aca="false">IF(OR(B154="",AND(A154=A153 ,B154=B153)),"",SUMIFS($D$5:$D$504,$A$5:$A$504,A154,$B$5:$B$504,B154)+SUMIFS($E$5:$E$504,$A$5:$A$504,A154,$B$5:$B$504,B154)-SUMIFS($F$5:$F$504,$A$5:$A$504,A154,$B$5:$B$504,B154))</f>
        <v/>
      </c>
      <c r="H154" s="33" t="str">
        <f aca="false">IF(OR(B154="",AND(A154=A153 ,B154=B153)),"",SUMIFS($F$5:$F$504,$A$5:$A$504,A154,$B$5:$B$504,B154))</f>
        <v/>
      </c>
      <c r="I154" s="34"/>
      <c r="J154" s="35"/>
    </row>
    <row r="155" customFormat="false" ht="15" hidden="false" customHeight="false" outlineLevel="0" collapsed="false">
      <c r="A155" s="32"/>
      <c r="B155" s="29"/>
      <c r="C155" s="29"/>
      <c r="D155" s="25"/>
      <c r="E155" s="25"/>
      <c r="F155" s="25"/>
      <c r="G155" s="33" t="str">
        <f aca="false">IF(OR(B155="",AND(A155=A154 ,B155=B154)),"",SUMIFS($D$5:$D$504,$A$5:$A$504,A155,$B$5:$B$504,B155)+SUMIFS($E$5:$E$504,$A$5:$A$504,A155,$B$5:$B$504,B155)-SUMIFS($F$5:$F$504,$A$5:$A$504,A155,$B$5:$B$504,B155))</f>
        <v/>
      </c>
      <c r="H155" s="33" t="str">
        <f aca="false">IF(OR(B155="",AND(A155=A154 ,B155=B154)),"",SUMIFS($F$5:$F$504,$A$5:$A$504,A155,$B$5:$B$504,B155))</f>
        <v/>
      </c>
      <c r="I155" s="34"/>
      <c r="J155" s="35"/>
    </row>
    <row r="156" customFormat="false" ht="15" hidden="false" customHeight="false" outlineLevel="0" collapsed="false">
      <c r="A156" s="32"/>
      <c r="B156" s="29"/>
      <c r="C156" s="29"/>
      <c r="D156" s="25"/>
      <c r="E156" s="25"/>
      <c r="F156" s="25"/>
      <c r="G156" s="33" t="str">
        <f aca="false">IF(OR(B156="",AND(A156=A155 ,B156=B155)),"",SUMIFS($D$5:$D$504,$A$5:$A$504,A156,$B$5:$B$504,B156)+SUMIFS($E$5:$E$504,$A$5:$A$504,A156,$B$5:$B$504,B156)-SUMIFS($F$5:$F$504,$A$5:$A$504,A156,$B$5:$B$504,B156))</f>
        <v/>
      </c>
      <c r="H156" s="33" t="str">
        <f aca="false">IF(OR(B156="",AND(A156=A155 ,B156=B155)),"",SUMIFS($F$5:$F$504,$A$5:$A$504,A156,$B$5:$B$504,B156))</f>
        <v/>
      </c>
      <c r="I156" s="34"/>
      <c r="J156" s="35"/>
    </row>
    <row r="157" customFormat="false" ht="15" hidden="false" customHeight="false" outlineLevel="0" collapsed="false">
      <c r="A157" s="32"/>
      <c r="B157" s="29"/>
      <c r="C157" s="29"/>
      <c r="D157" s="25"/>
      <c r="E157" s="25"/>
      <c r="F157" s="25"/>
      <c r="G157" s="33" t="str">
        <f aca="false">IF(OR(B157="",AND(A157=A156 ,B157=B156)),"",SUMIFS($D$5:$D$504,$A$5:$A$504,A157,$B$5:$B$504,B157)+SUMIFS($E$5:$E$504,$A$5:$A$504,A157,$B$5:$B$504,B157)-SUMIFS($F$5:$F$504,$A$5:$A$504,A157,$B$5:$B$504,B157))</f>
        <v/>
      </c>
      <c r="H157" s="33" t="str">
        <f aca="false">IF(OR(B157="",AND(A157=A156 ,B157=B156)),"",SUMIFS($F$5:$F$504,$A$5:$A$504,A157,$B$5:$B$504,B157))</f>
        <v/>
      </c>
      <c r="I157" s="34"/>
      <c r="J157" s="35"/>
    </row>
    <row r="158" customFormat="false" ht="15" hidden="false" customHeight="false" outlineLevel="0" collapsed="false">
      <c r="A158" s="32"/>
      <c r="B158" s="29"/>
      <c r="C158" s="29"/>
      <c r="D158" s="25"/>
      <c r="E158" s="25"/>
      <c r="F158" s="25"/>
      <c r="G158" s="33" t="str">
        <f aca="false">IF(OR(B158="",AND(A158=A157 ,B158=B157)),"",SUMIFS($D$5:$D$504,$A$5:$A$504,A158,$B$5:$B$504,B158)+SUMIFS($E$5:$E$504,$A$5:$A$504,A158,$B$5:$B$504,B158)-SUMIFS($F$5:$F$504,$A$5:$A$504,A158,$B$5:$B$504,B158))</f>
        <v/>
      </c>
      <c r="H158" s="33" t="str">
        <f aca="false">IF(OR(B158="",AND(A158=A157 ,B158=B157)),"",SUMIFS($F$5:$F$504,$A$5:$A$504,A158,$B$5:$B$504,B158))</f>
        <v/>
      </c>
      <c r="I158" s="34"/>
      <c r="J158" s="35"/>
    </row>
    <row r="159" customFormat="false" ht="15" hidden="false" customHeight="false" outlineLevel="0" collapsed="false">
      <c r="A159" s="32"/>
      <c r="B159" s="29"/>
      <c r="C159" s="29"/>
      <c r="D159" s="25"/>
      <c r="E159" s="25"/>
      <c r="F159" s="25"/>
      <c r="G159" s="33" t="str">
        <f aca="false">IF(OR(B159="",AND(A159=A158 ,B159=B158)),"",SUMIFS($D$5:$D$504,$A$5:$A$504,A159,$B$5:$B$504,B159)+SUMIFS($E$5:$E$504,$A$5:$A$504,A159,$B$5:$B$504,B159)-SUMIFS($F$5:$F$504,$A$5:$A$504,A159,$B$5:$B$504,B159))</f>
        <v/>
      </c>
      <c r="H159" s="33" t="str">
        <f aca="false">IF(OR(B159="",AND(A159=A158 ,B159=B158)),"",SUMIFS($F$5:$F$504,$A$5:$A$504,A159,$B$5:$B$504,B159))</f>
        <v/>
      </c>
      <c r="I159" s="34"/>
      <c r="J159" s="35"/>
    </row>
    <row r="160" customFormat="false" ht="15" hidden="false" customHeight="false" outlineLevel="0" collapsed="false">
      <c r="A160" s="32"/>
      <c r="B160" s="29"/>
      <c r="C160" s="29"/>
      <c r="D160" s="25"/>
      <c r="E160" s="25"/>
      <c r="F160" s="25"/>
      <c r="G160" s="33" t="str">
        <f aca="false">IF(OR(B160="",AND(A160=A159 ,B160=B159)),"",SUMIFS($D$5:$D$504,$A$5:$A$504,A160,$B$5:$B$504,B160)+SUMIFS($E$5:$E$504,$A$5:$A$504,A160,$B$5:$B$504,B160)-SUMIFS($F$5:$F$504,$A$5:$A$504,A160,$B$5:$B$504,B160))</f>
        <v/>
      </c>
      <c r="H160" s="33" t="str">
        <f aca="false">IF(OR(B160="",AND(A160=A159 ,B160=B159)),"",SUMIFS($F$5:$F$504,$A$5:$A$504,A160,$B$5:$B$504,B160))</f>
        <v/>
      </c>
      <c r="I160" s="34"/>
      <c r="J160" s="35"/>
    </row>
    <row r="161" customFormat="false" ht="15" hidden="false" customHeight="false" outlineLevel="0" collapsed="false">
      <c r="A161" s="32"/>
      <c r="B161" s="29"/>
      <c r="C161" s="29"/>
      <c r="D161" s="25"/>
      <c r="E161" s="25"/>
      <c r="F161" s="25"/>
      <c r="G161" s="33" t="str">
        <f aca="false">IF(OR(B161="",AND(A161=A160 ,B161=B160)),"",SUMIFS($D$5:$D$504,$A$5:$A$504,A161,$B$5:$B$504,B161)+SUMIFS($E$5:$E$504,$A$5:$A$504,A161,$B$5:$B$504,B161)-SUMIFS($F$5:$F$504,$A$5:$A$504,A161,$B$5:$B$504,B161))</f>
        <v/>
      </c>
      <c r="H161" s="33" t="str">
        <f aca="false">IF(OR(B161="",AND(A161=A160 ,B161=B160)),"",SUMIFS($F$5:$F$504,$A$5:$A$504,A161,$B$5:$B$504,B161))</f>
        <v/>
      </c>
      <c r="I161" s="34"/>
      <c r="J161" s="35"/>
    </row>
    <row r="162" customFormat="false" ht="15" hidden="false" customHeight="false" outlineLevel="0" collapsed="false">
      <c r="A162" s="32"/>
      <c r="B162" s="29"/>
      <c r="C162" s="29"/>
      <c r="D162" s="25"/>
      <c r="E162" s="25"/>
      <c r="F162" s="25"/>
      <c r="G162" s="33" t="str">
        <f aca="false">IF(OR(B162="",AND(A162=A161 ,B162=B161)),"",SUMIFS($D$5:$D$504,$A$5:$A$504,A162,$B$5:$B$504,B162)+SUMIFS($E$5:$E$504,$A$5:$A$504,A162,$B$5:$B$504,B162)-SUMIFS($F$5:$F$504,$A$5:$A$504,A162,$B$5:$B$504,B162))</f>
        <v/>
      </c>
      <c r="H162" s="33" t="str">
        <f aca="false">IF(OR(B162="",AND(A162=A161 ,B162=B161)),"",SUMIFS($F$5:$F$504,$A$5:$A$504,A162,$B$5:$B$504,B162))</f>
        <v/>
      </c>
      <c r="I162" s="34"/>
      <c r="J162" s="35"/>
    </row>
    <row r="163" customFormat="false" ht="15" hidden="false" customHeight="false" outlineLevel="0" collapsed="false">
      <c r="A163" s="32"/>
      <c r="B163" s="29"/>
      <c r="C163" s="29"/>
      <c r="D163" s="25"/>
      <c r="E163" s="25"/>
      <c r="F163" s="25"/>
      <c r="G163" s="33" t="str">
        <f aca="false">IF(OR(B163="",AND(A163=A162 ,B163=B162)),"",SUMIFS($D$5:$D$504,$A$5:$A$504,A163,$B$5:$B$504,B163)+SUMIFS($E$5:$E$504,$A$5:$A$504,A163,$B$5:$B$504,B163)-SUMIFS($F$5:$F$504,$A$5:$A$504,A163,$B$5:$B$504,B163))</f>
        <v/>
      </c>
      <c r="H163" s="33" t="str">
        <f aca="false">IF(OR(B163="",AND(A163=A162 ,B163=B162)),"",SUMIFS($F$5:$F$504,$A$5:$A$504,A163,$B$5:$B$504,B163))</f>
        <v/>
      </c>
      <c r="I163" s="34"/>
      <c r="J163" s="35"/>
    </row>
    <row r="164" customFormat="false" ht="15" hidden="false" customHeight="false" outlineLevel="0" collapsed="false">
      <c r="A164" s="32"/>
      <c r="B164" s="29"/>
      <c r="C164" s="29"/>
      <c r="D164" s="25"/>
      <c r="E164" s="25"/>
      <c r="F164" s="25"/>
      <c r="G164" s="33" t="str">
        <f aca="false">IF(OR(B164="",AND(A164=A163 ,B164=B163)),"",SUMIFS($D$5:$D$504,$A$5:$A$504,A164,$B$5:$B$504,B164)+SUMIFS($E$5:$E$504,$A$5:$A$504,A164,$B$5:$B$504,B164)-SUMIFS($F$5:$F$504,$A$5:$A$504,A164,$B$5:$B$504,B164))</f>
        <v/>
      </c>
      <c r="H164" s="33" t="str">
        <f aca="false">IF(OR(B164="",AND(A164=A163 ,B164=B163)),"",SUMIFS($F$5:$F$504,$A$5:$A$504,A164,$B$5:$B$504,B164))</f>
        <v/>
      </c>
      <c r="I164" s="34"/>
      <c r="J164" s="35"/>
    </row>
    <row r="165" customFormat="false" ht="15" hidden="false" customHeight="false" outlineLevel="0" collapsed="false">
      <c r="A165" s="32"/>
      <c r="B165" s="29"/>
      <c r="C165" s="29"/>
      <c r="D165" s="25"/>
      <c r="E165" s="25"/>
      <c r="F165" s="25"/>
      <c r="G165" s="33" t="str">
        <f aca="false">IF(OR(B165="",AND(A165=A164 ,B165=B164)),"",SUMIFS($D$5:$D$504,$A$5:$A$504,A165,$B$5:$B$504,B165)+SUMIFS($E$5:$E$504,$A$5:$A$504,A165,$B$5:$B$504,B165)-SUMIFS($F$5:$F$504,$A$5:$A$504,A165,$B$5:$B$504,B165))</f>
        <v/>
      </c>
      <c r="H165" s="33" t="str">
        <f aca="false">IF(OR(B165="",AND(A165=A164 ,B165=B164)),"",SUMIFS($F$5:$F$504,$A$5:$A$504,A165,$B$5:$B$504,B165))</f>
        <v/>
      </c>
      <c r="I165" s="34"/>
      <c r="J165" s="35"/>
    </row>
    <row r="166" customFormat="false" ht="15" hidden="false" customHeight="false" outlineLevel="0" collapsed="false">
      <c r="A166" s="32"/>
      <c r="B166" s="29"/>
      <c r="C166" s="29"/>
      <c r="D166" s="25"/>
      <c r="E166" s="25"/>
      <c r="F166" s="25"/>
      <c r="G166" s="33" t="str">
        <f aca="false">IF(OR(B166="",AND(A166=A165 ,B166=B165)),"",SUMIFS($D$5:$D$504,$A$5:$A$504,A166,$B$5:$B$504,B166)+SUMIFS($E$5:$E$504,$A$5:$A$504,A166,$B$5:$B$504,B166)-SUMIFS($F$5:$F$504,$A$5:$A$504,A166,$B$5:$B$504,B166))</f>
        <v/>
      </c>
      <c r="H166" s="33" t="str">
        <f aca="false">IF(OR(B166="",AND(A166=A165 ,B166=B165)),"",SUMIFS($F$5:$F$504,$A$5:$A$504,A166,$B$5:$B$504,B166))</f>
        <v/>
      </c>
      <c r="I166" s="34"/>
      <c r="J166" s="35"/>
    </row>
    <row r="167" customFormat="false" ht="15" hidden="false" customHeight="false" outlineLevel="0" collapsed="false">
      <c r="A167" s="32"/>
      <c r="B167" s="29"/>
      <c r="C167" s="29"/>
      <c r="D167" s="25"/>
      <c r="E167" s="25"/>
      <c r="F167" s="25"/>
      <c r="G167" s="33" t="str">
        <f aca="false">IF(OR(B167="",AND(A167=A166 ,B167=B166)),"",SUMIFS($D$5:$D$504,$A$5:$A$504,A167,$B$5:$B$504,B167)+SUMIFS($E$5:$E$504,$A$5:$A$504,A167,$B$5:$B$504,B167)-SUMIFS($F$5:$F$504,$A$5:$A$504,A167,$B$5:$B$504,B167))</f>
        <v/>
      </c>
      <c r="H167" s="33" t="str">
        <f aca="false">IF(OR(B167="",AND(A167=A166 ,B167=B166)),"",SUMIFS($F$5:$F$504,$A$5:$A$504,A167,$B$5:$B$504,B167))</f>
        <v/>
      </c>
      <c r="I167" s="34"/>
      <c r="J167" s="35"/>
    </row>
    <row r="168" customFormat="false" ht="15" hidden="false" customHeight="false" outlineLevel="0" collapsed="false">
      <c r="A168" s="32"/>
      <c r="B168" s="29"/>
      <c r="C168" s="29"/>
      <c r="D168" s="25"/>
      <c r="E168" s="25"/>
      <c r="F168" s="25"/>
      <c r="G168" s="33" t="str">
        <f aca="false">IF(OR(B168="",AND(A168=A167 ,B168=B167)),"",SUMIFS($D$5:$D$504,$A$5:$A$504,A168,$B$5:$B$504,B168)+SUMIFS($E$5:$E$504,$A$5:$A$504,A168,$B$5:$B$504,B168)-SUMIFS($F$5:$F$504,$A$5:$A$504,A168,$B$5:$B$504,B168))</f>
        <v/>
      </c>
      <c r="H168" s="33" t="str">
        <f aca="false">IF(OR(B168="",AND(A168=A167 ,B168=B167)),"",SUMIFS($F$5:$F$504,$A$5:$A$504,A168,$B$5:$B$504,B168))</f>
        <v/>
      </c>
      <c r="I168" s="34"/>
      <c r="J168" s="35"/>
    </row>
    <row r="169" customFormat="false" ht="15" hidden="false" customHeight="false" outlineLevel="0" collapsed="false">
      <c r="A169" s="32"/>
      <c r="B169" s="29"/>
      <c r="C169" s="29"/>
      <c r="D169" s="25"/>
      <c r="E169" s="25"/>
      <c r="F169" s="25"/>
      <c r="G169" s="33" t="str">
        <f aca="false">IF(OR(B169="",AND(A169=A168 ,B169=B168)),"",SUMIFS($D$5:$D$504,$A$5:$A$504,A169,$B$5:$B$504,B169)+SUMIFS($E$5:$E$504,$A$5:$A$504,A169,$B$5:$B$504,B169)-SUMIFS($F$5:$F$504,$A$5:$A$504,A169,$B$5:$B$504,B169))</f>
        <v/>
      </c>
      <c r="H169" s="33" t="str">
        <f aca="false">IF(OR(B169="",AND(A169=A168 ,B169=B168)),"",SUMIFS($F$5:$F$504,$A$5:$A$504,A169,$B$5:$B$504,B169))</f>
        <v/>
      </c>
      <c r="I169" s="34"/>
      <c r="J169" s="35"/>
    </row>
    <row r="170" customFormat="false" ht="15" hidden="false" customHeight="false" outlineLevel="0" collapsed="false">
      <c r="A170" s="32"/>
      <c r="B170" s="29"/>
      <c r="C170" s="29"/>
      <c r="D170" s="25"/>
      <c r="E170" s="25"/>
      <c r="F170" s="25"/>
      <c r="G170" s="33" t="str">
        <f aca="false">IF(OR(B170="",AND(A170=A169 ,B170=B169)),"",SUMIFS($D$5:$D$504,$A$5:$A$504,A170,$B$5:$B$504,B170)+SUMIFS($E$5:$E$504,$A$5:$A$504,A170,$B$5:$B$504,B170)-SUMIFS($F$5:$F$504,$A$5:$A$504,A170,$B$5:$B$504,B170))</f>
        <v/>
      </c>
      <c r="H170" s="33" t="str">
        <f aca="false">IF(OR(B170="",AND(A170=A169 ,B170=B169)),"",SUMIFS($F$5:$F$504,$A$5:$A$504,A170,$B$5:$B$504,B170))</f>
        <v/>
      </c>
      <c r="I170" s="34"/>
      <c r="J170" s="35"/>
    </row>
    <row r="171" customFormat="false" ht="15" hidden="false" customHeight="false" outlineLevel="0" collapsed="false">
      <c r="A171" s="32"/>
      <c r="B171" s="29"/>
      <c r="C171" s="29"/>
      <c r="D171" s="25"/>
      <c r="E171" s="25"/>
      <c r="F171" s="25"/>
      <c r="G171" s="33" t="str">
        <f aca="false">IF(OR(B171="",AND(A171=A170 ,B171=B170)),"",SUMIFS($D$5:$D$504,$A$5:$A$504,A171,$B$5:$B$504,B171)+SUMIFS($E$5:$E$504,$A$5:$A$504,A171,$B$5:$B$504,B171)-SUMIFS($F$5:$F$504,$A$5:$A$504,A171,$B$5:$B$504,B171))</f>
        <v/>
      </c>
      <c r="H171" s="33" t="str">
        <f aca="false">IF(OR(B171="",AND(A171=A170 ,B171=B170)),"",SUMIFS($F$5:$F$504,$A$5:$A$504,A171,$B$5:$B$504,B171))</f>
        <v/>
      </c>
      <c r="I171" s="34"/>
      <c r="J171" s="35"/>
    </row>
    <row r="172" customFormat="false" ht="15" hidden="false" customHeight="false" outlineLevel="0" collapsed="false">
      <c r="A172" s="32"/>
      <c r="B172" s="29"/>
      <c r="C172" s="29"/>
      <c r="D172" s="25"/>
      <c r="E172" s="25"/>
      <c r="F172" s="25"/>
      <c r="G172" s="33" t="str">
        <f aca="false">IF(OR(B172="",AND(A172=A171 ,B172=B171)),"",SUMIFS($D$5:$D$504,$A$5:$A$504,A172,$B$5:$B$504,B172)+SUMIFS($E$5:$E$504,$A$5:$A$504,A172,$B$5:$B$504,B172)-SUMIFS($F$5:$F$504,$A$5:$A$504,A172,$B$5:$B$504,B172))</f>
        <v/>
      </c>
      <c r="H172" s="33" t="str">
        <f aca="false">IF(OR(B172="",AND(A172=A171 ,B172=B171)),"",SUMIFS($F$5:$F$504,$A$5:$A$504,A172,$B$5:$B$504,B172))</f>
        <v/>
      </c>
      <c r="I172" s="34"/>
      <c r="J172" s="35"/>
    </row>
    <row r="173" customFormat="false" ht="15" hidden="false" customHeight="false" outlineLevel="0" collapsed="false">
      <c r="A173" s="32"/>
      <c r="B173" s="29"/>
      <c r="C173" s="29"/>
      <c r="D173" s="25"/>
      <c r="E173" s="25"/>
      <c r="F173" s="25"/>
      <c r="G173" s="33" t="str">
        <f aca="false">IF(OR(B173="",AND(A173=A172 ,B173=B172)),"",SUMIFS($D$5:$D$504,$A$5:$A$504,A173,$B$5:$B$504,B173)+SUMIFS($E$5:$E$504,$A$5:$A$504,A173,$B$5:$B$504,B173)-SUMIFS($F$5:$F$504,$A$5:$A$504,A173,$B$5:$B$504,B173))</f>
        <v/>
      </c>
      <c r="H173" s="33" t="str">
        <f aca="false">IF(OR(B173="",AND(A173=A172 ,B173=B172)),"",SUMIFS($F$5:$F$504,$A$5:$A$504,A173,$B$5:$B$504,B173))</f>
        <v/>
      </c>
      <c r="I173" s="34"/>
      <c r="J173" s="35"/>
    </row>
    <row r="174" customFormat="false" ht="15" hidden="false" customHeight="false" outlineLevel="0" collapsed="false">
      <c r="A174" s="32"/>
      <c r="B174" s="29"/>
      <c r="C174" s="29"/>
      <c r="D174" s="25"/>
      <c r="E174" s="25"/>
      <c r="F174" s="25"/>
      <c r="G174" s="33" t="str">
        <f aca="false">IF(OR(B174="",AND(A174=A173 ,B174=B173)),"",SUMIFS($D$5:$D$504,$A$5:$A$504,A174,$B$5:$B$504,B174)+SUMIFS($E$5:$E$504,$A$5:$A$504,A174,$B$5:$B$504,B174)-SUMIFS($F$5:$F$504,$A$5:$A$504,A174,$B$5:$B$504,B174))</f>
        <v/>
      </c>
      <c r="H174" s="33" t="str">
        <f aca="false">IF(OR(B174="",AND(A174=A173 ,B174=B173)),"",SUMIFS($F$5:$F$504,$A$5:$A$504,A174,$B$5:$B$504,B174))</f>
        <v/>
      </c>
      <c r="I174" s="34"/>
      <c r="J174" s="35"/>
    </row>
    <row r="175" customFormat="false" ht="15" hidden="false" customHeight="false" outlineLevel="0" collapsed="false">
      <c r="A175" s="32"/>
      <c r="B175" s="29"/>
      <c r="C175" s="29"/>
      <c r="D175" s="25"/>
      <c r="E175" s="25"/>
      <c r="F175" s="25"/>
      <c r="G175" s="33" t="str">
        <f aca="false">IF(OR(B175="",AND(A175=A174 ,B175=B174)),"",SUMIFS($D$5:$D$504,$A$5:$A$504,A175,$B$5:$B$504,B175)+SUMIFS($E$5:$E$504,$A$5:$A$504,A175,$B$5:$B$504,B175)-SUMIFS($F$5:$F$504,$A$5:$A$504,A175,$B$5:$B$504,B175))</f>
        <v/>
      </c>
      <c r="H175" s="33" t="str">
        <f aca="false">IF(OR(B175="",AND(A175=A174 ,B175=B174)),"",SUMIFS($F$5:$F$504,$A$5:$A$504,A175,$B$5:$B$504,B175))</f>
        <v/>
      </c>
      <c r="I175" s="34"/>
      <c r="J175" s="35"/>
    </row>
    <row r="176" customFormat="false" ht="15" hidden="false" customHeight="false" outlineLevel="0" collapsed="false">
      <c r="A176" s="32"/>
      <c r="B176" s="29"/>
      <c r="C176" s="29"/>
      <c r="D176" s="25"/>
      <c r="E176" s="25"/>
      <c r="F176" s="25"/>
      <c r="G176" s="33" t="str">
        <f aca="false">IF(OR(B176="",AND(A176=A175 ,B176=B175)),"",SUMIFS($D$5:$D$504,$A$5:$A$504,A176,$B$5:$B$504,B176)+SUMIFS($E$5:$E$504,$A$5:$A$504,A176,$B$5:$B$504,B176)-SUMIFS($F$5:$F$504,$A$5:$A$504,A176,$B$5:$B$504,B176))</f>
        <v/>
      </c>
      <c r="H176" s="33" t="str">
        <f aca="false">IF(OR(B176="",AND(A176=A175 ,B176=B175)),"",SUMIFS($F$5:$F$504,$A$5:$A$504,A176,$B$5:$B$504,B176))</f>
        <v/>
      </c>
      <c r="I176" s="34"/>
      <c r="J176" s="35"/>
    </row>
    <row r="177" customFormat="false" ht="15" hidden="false" customHeight="false" outlineLevel="0" collapsed="false">
      <c r="A177" s="32"/>
      <c r="B177" s="29"/>
      <c r="C177" s="29"/>
      <c r="D177" s="25"/>
      <c r="E177" s="25"/>
      <c r="F177" s="25"/>
      <c r="G177" s="33" t="str">
        <f aca="false">IF(OR(B177="",AND(A177=A176 ,B177=B176)),"",SUMIFS($D$5:$D$504,$A$5:$A$504,A177,$B$5:$B$504,B177)+SUMIFS($E$5:$E$504,$A$5:$A$504,A177,$B$5:$B$504,B177)-SUMIFS($F$5:$F$504,$A$5:$A$504,A177,$B$5:$B$504,B177))</f>
        <v/>
      </c>
      <c r="H177" s="33" t="str">
        <f aca="false">IF(OR(B177="",AND(A177=A176 ,B177=B176)),"",SUMIFS($F$5:$F$504,$A$5:$A$504,A177,$B$5:$B$504,B177))</f>
        <v/>
      </c>
      <c r="I177" s="34"/>
      <c r="J177" s="35"/>
    </row>
    <row r="178" customFormat="false" ht="15" hidden="false" customHeight="false" outlineLevel="0" collapsed="false">
      <c r="A178" s="32"/>
      <c r="B178" s="29"/>
      <c r="C178" s="29"/>
      <c r="D178" s="25"/>
      <c r="E178" s="25"/>
      <c r="F178" s="25"/>
      <c r="G178" s="33" t="str">
        <f aca="false">IF(OR(B178="",AND(A178=A177 ,B178=B177)),"",SUMIFS($D$5:$D$504,$A$5:$A$504,A178,$B$5:$B$504,B178)+SUMIFS($E$5:$E$504,$A$5:$A$504,A178,$B$5:$B$504,B178)-SUMIFS($F$5:$F$504,$A$5:$A$504,A178,$B$5:$B$504,B178))</f>
        <v/>
      </c>
      <c r="H178" s="33" t="str">
        <f aca="false">IF(OR(B178="",AND(A178=A177 ,B178=B177)),"",SUMIFS($F$5:$F$504,$A$5:$A$504,A178,$B$5:$B$504,B178))</f>
        <v/>
      </c>
      <c r="I178" s="34"/>
      <c r="J178" s="35"/>
    </row>
    <row r="179" customFormat="false" ht="15" hidden="false" customHeight="false" outlineLevel="0" collapsed="false">
      <c r="A179" s="32"/>
      <c r="B179" s="29"/>
      <c r="C179" s="29"/>
      <c r="D179" s="25"/>
      <c r="E179" s="25"/>
      <c r="F179" s="25"/>
      <c r="G179" s="33" t="str">
        <f aca="false">IF(OR(B179="",AND(A179=A178 ,B179=B178)),"",SUMIFS($D$5:$D$504,$A$5:$A$504,A179,$B$5:$B$504,B179)+SUMIFS($E$5:$E$504,$A$5:$A$504,A179,$B$5:$B$504,B179)-SUMIFS($F$5:$F$504,$A$5:$A$504,A179,$B$5:$B$504,B179))</f>
        <v/>
      </c>
      <c r="H179" s="33" t="str">
        <f aca="false">IF(OR(B179="",AND(A179=A178 ,B179=B178)),"",SUMIFS($F$5:$F$504,$A$5:$A$504,A179,$B$5:$B$504,B179))</f>
        <v/>
      </c>
      <c r="I179" s="34"/>
      <c r="J179" s="35"/>
    </row>
    <row r="180" customFormat="false" ht="15" hidden="false" customHeight="false" outlineLevel="0" collapsed="false">
      <c r="A180" s="32"/>
      <c r="B180" s="29"/>
      <c r="C180" s="29"/>
      <c r="D180" s="25"/>
      <c r="E180" s="25"/>
      <c r="F180" s="25"/>
      <c r="G180" s="33" t="str">
        <f aca="false">IF(OR(B180="",AND(A180=A179 ,B180=B179)),"",SUMIFS($D$5:$D$504,$A$5:$A$504,A180,$B$5:$B$504,B180)+SUMIFS($E$5:$E$504,$A$5:$A$504,A180,$B$5:$B$504,B180)-SUMIFS($F$5:$F$504,$A$5:$A$504,A180,$B$5:$B$504,B180))</f>
        <v/>
      </c>
      <c r="H180" s="33" t="str">
        <f aca="false">IF(OR(B180="",AND(A180=A179 ,B180=B179)),"",SUMIFS($F$5:$F$504,$A$5:$A$504,A180,$B$5:$B$504,B180))</f>
        <v/>
      </c>
      <c r="I180" s="34"/>
      <c r="J180" s="35"/>
    </row>
    <row r="181" customFormat="false" ht="15" hidden="false" customHeight="false" outlineLevel="0" collapsed="false">
      <c r="A181" s="32"/>
      <c r="B181" s="29"/>
      <c r="C181" s="29"/>
      <c r="D181" s="25"/>
      <c r="E181" s="25"/>
      <c r="F181" s="25"/>
      <c r="G181" s="33" t="str">
        <f aca="false">IF(OR(B181="",AND(A181=A180 ,B181=B180)),"",SUMIFS($D$5:$D$504,$A$5:$A$504,A181,$B$5:$B$504,B181)+SUMIFS($E$5:$E$504,$A$5:$A$504,A181,$B$5:$B$504,B181)-SUMIFS($F$5:$F$504,$A$5:$A$504,A181,$B$5:$B$504,B181))</f>
        <v/>
      </c>
      <c r="H181" s="33" t="str">
        <f aca="false">IF(OR(B181="",AND(A181=A180 ,B181=B180)),"",SUMIFS($F$5:$F$504,$A$5:$A$504,A181,$B$5:$B$504,B181))</f>
        <v/>
      </c>
      <c r="I181" s="34"/>
      <c r="J181" s="35"/>
    </row>
    <row r="182" customFormat="false" ht="15" hidden="false" customHeight="false" outlineLevel="0" collapsed="false">
      <c r="A182" s="32"/>
      <c r="B182" s="29"/>
      <c r="C182" s="29"/>
      <c r="D182" s="25"/>
      <c r="E182" s="25"/>
      <c r="F182" s="25"/>
      <c r="G182" s="33" t="str">
        <f aca="false">IF(OR(B182="",AND(A182=A181 ,B182=B181)),"",SUMIFS($D$5:$D$504,$A$5:$A$504,A182,$B$5:$B$504,B182)+SUMIFS($E$5:$E$504,$A$5:$A$504,A182,$B$5:$B$504,B182)-SUMIFS($F$5:$F$504,$A$5:$A$504,A182,$B$5:$B$504,B182))</f>
        <v/>
      </c>
      <c r="H182" s="33" t="str">
        <f aca="false">IF(OR(B182="",AND(A182=A181 ,B182=B181)),"",SUMIFS($F$5:$F$504,$A$5:$A$504,A182,$B$5:$B$504,B182))</f>
        <v/>
      </c>
      <c r="I182" s="34"/>
      <c r="J182" s="35"/>
    </row>
    <row r="183" customFormat="false" ht="15" hidden="false" customHeight="false" outlineLevel="0" collapsed="false">
      <c r="A183" s="32"/>
      <c r="B183" s="29"/>
      <c r="C183" s="29"/>
      <c r="D183" s="25"/>
      <c r="E183" s="25"/>
      <c r="F183" s="25"/>
      <c r="G183" s="33" t="str">
        <f aca="false">IF(OR(B183="",AND(A183=A182 ,B183=B182)),"",SUMIFS($D$5:$D$504,$A$5:$A$504,A183,$B$5:$B$504,B183)+SUMIFS($E$5:$E$504,$A$5:$A$504,A183,$B$5:$B$504,B183)-SUMIFS($F$5:$F$504,$A$5:$A$504,A183,$B$5:$B$504,B183))</f>
        <v/>
      </c>
      <c r="H183" s="33" t="str">
        <f aca="false">IF(OR(B183="",AND(A183=A182 ,B183=B182)),"",SUMIFS($F$5:$F$504,$A$5:$A$504,A183,$B$5:$B$504,B183))</f>
        <v/>
      </c>
      <c r="I183" s="34"/>
      <c r="J183" s="35"/>
    </row>
    <row r="184" customFormat="false" ht="15" hidden="false" customHeight="false" outlineLevel="0" collapsed="false">
      <c r="A184" s="32"/>
      <c r="B184" s="29"/>
      <c r="C184" s="29"/>
      <c r="D184" s="25"/>
      <c r="E184" s="25"/>
      <c r="F184" s="25"/>
      <c r="G184" s="33" t="str">
        <f aca="false">IF(OR(B184="",AND(A184=A183 ,B184=B183)),"",SUMIFS($D$5:$D$504,$A$5:$A$504,A184,$B$5:$B$504,B184)+SUMIFS($E$5:$E$504,$A$5:$A$504,A184,$B$5:$B$504,B184)-SUMIFS($F$5:$F$504,$A$5:$A$504,A184,$B$5:$B$504,B184))</f>
        <v/>
      </c>
      <c r="H184" s="33" t="str">
        <f aca="false">IF(OR(B184="",AND(A184=A183 ,B184=B183)),"",SUMIFS($F$5:$F$504,$A$5:$A$504,A184,$B$5:$B$504,B184))</f>
        <v/>
      </c>
      <c r="I184" s="34"/>
      <c r="J184" s="35"/>
    </row>
    <row r="185" customFormat="false" ht="15" hidden="false" customHeight="false" outlineLevel="0" collapsed="false">
      <c r="A185" s="32"/>
      <c r="B185" s="29"/>
      <c r="C185" s="29"/>
      <c r="D185" s="25"/>
      <c r="E185" s="25"/>
      <c r="F185" s="25"/>
      <c r="G185" s="33" t="str">
        <f aca="false">IF(OR(B185="",AND(A185=A184 ,B185=B184)),"",SUMIFS($D$5:$D$504,$A$5:$A$504,A185,$B$5:$B$504,B185)+SUMIFS($E$5:$E$504,$A$5:$A$504,A185,$B$5:$B$504,B185)-SUMIFS($F$5:$F$504,$A$5:$A$504,A185,$B$5:$B$504,B185))</f>
        <v/>
      </c>
      <c r="H185" s="33" t="str">
        <f aca="false">IF(OR(B185="",AND(A185=A184 ,B185=B184)),"",SUMIFS($F$5:$F$504,$A$5:$A$504,A185,$B$5:$B$504,B185))</f>
        <v/>
      </c>
      <c r="I185" s="34"/>
      <c r="J185" s="35"/>
    </row>
    <row r="186" customFormat="false" ht="15" hidden="false" customHeight="false" outlineLevel="0" collapsed="false">
      <c r="A186" s="32"/>
      <c r="B186" s="29"/>
      <c r="C186" s="29"/>
      <c r="D186" s="25"/>
      <c r="E186" s="25"/>
      <c r="F186" s="25"/>
      <c r="G186" s="33" t="str">
        <f aca="false">IF(OR(B186="",AND(A186=A185 ,B186=B185)),"",SUMIFS($D$5:$D$504,$A$5:$A$504,A186,$B$5:$B$504,B186)+SUMIFS($E$5:$E$504,$A$5:$A$504,A186,$B$5:$B$504,B186)-SUMIFS($F$5:$F$504,$A$5:$A$504,A186,$B$5:$B$504,B186))</f>
        <v/>
      </c>
      <c r="H186" s="33" t="str">
        <f aca="false">IF(OR(B186="",AND(A186=A185 ,B186=B185)),"",SUMIFS($F$5:$F$504,$A$5:$A$504,A186,$B$5:$B$504,B186))</f>
        <v/>
      </c>
      <c r="I186" s="34"/>
      <c r="J186" s="35"/>
    </row>
    <row r="187" customFormat="false" ht="15" hidden="false" customHeight="false" outlineLevel="0" collapsed="false">
      <c r="A187" s="32"/>
      <c r="B187" s="29"/>
      <c r="C187" s="29"/>
      <c r="D187" s="25"/>
      <c r="E187" s="25"/>
      <c r="F187" s="25"/>
      <c r="G187" s="33" t="str">
        <f aca="false">IF(OR(B187="",AND(A187=A186 ,B187=B186)),"",SUMIFS($D$5:$D$504,$A$5:$A$504,A187,$B$5:$B$504,B187)+SUMIFS($E$5:$E$504,$A$5:$A$504,A187,$B$5:$B$504,B187)-SUMIFS($F$5:$F$504,$A$5:$A$504,A187,$B$5:$B$504,B187))</f>
        <v/>
      </c>
      <c r="H187" s="33" t="str">
        <f aca="false">IF(OR(B187="",AND(A187=A186 ,B187=B186)),"",SUMIFS($F$5:$F$504,$A$5:$A$504,A187,$B$5:$B$504,B187))</f>
        <v/>
      </c>
      <c r="I187" s="34"/>
      <c r="J187" s="35"/>
    </row>
    <row r="188" customFormat="false" ht="15" hidden="false" customHeight="false" outlineLevel="0" collapsed="false">
      <c r="A188" s="32"/>
      <c r="B188" s="29"/>
      <c r="C188" s="29"/>
      <c r="D188" s="25"/>
      <c r="E188" s="25"/>
      <c r="F188" s="25"/>
      <c r="G188" s="33" t="str">
        <f aca="false">IF(OR(B188="",AND(A188=A187 ,B188=B187)),"",SUMIFS($D$5:$D$504,$A$5:$A$504,A188,$B$5:$B$504,B188)+SUMIFS($E$5:$E$504,$A$5:$A$504,A188,$B$5:$B$504,B188)-SUMIFS($F$5:$F$504,$A$5:$A$504,A188,$B$5:$B$504,B188))</f>
        <v/>
      </c>
      <c r="H188" s="33" t="str">
        <f aca="false">IF(OR(B188="",AND(A188=A187 ,B188=B187)),"",SUMIFS($F$5:$F$504,$A$5:$A$504,A188,$B$5:$B$504,B188))</f>
        <v/>
      </c>
      <c r="I188" s="34"/>
      <c r="J188" s="35"/>
    </row>
    <row r="189" customFormat="false" ht="15" hidden="false" customHeight="false" outlineLevel="0" collapsed="false">
      <c r="A189" s="32"/>
      <c r="B189" s="29"/>
      <c r="C189" s="29"/>
      <c r="D189" s="25"/>
      <c r="E189" s="25"/>
      <c r="F189" s="25"/>
      <c r="G189" s="33" t="str">
        <f aca="false">IF(OR(B189="",AND(A189=A188 ,B189=B188)),"",SUMIFS($D$5:$D$504,$A$5:$A$504,A189,$B$5:$B$504,B189)+SUMIFS($E$5:$E$504,$A$5:$A$504,A189,$B$5:$B$504,B189)-SUMIFS($F$5:$F$504,$A$5:$A$504,A189,$B$5:$B$504,B189))</f>
        <v/>
      </c>
      <c r="H189" s="33" t="str">
        <f aca="false">IF(OR(B189="",AND(A189=A188 ,B189=B188)),"",SUMIFS($F$5:$F$504,$A$5:$A$504,A189,$B$5:$B$504,B189))</f>
        <v/>
      </c>
      <c r="I189" s="34"/>
      <c r="J189" s="35"/>
    </row>
    <row r="190" customFormat="false" ht="15" hidden="false" customHeight="false" outlineLevel="0" collapsed="false">
      <c r="A190" s="32"/>
      <c r="B190" s="29"/>
      <c r="C190" s="29"/>
      <c r="D190" s="25"/>
      <c r="E190" s="25"/>
      <c r="F190" s="25"/>
      <c r="G190" s="33" t="str">
        <f aca="false">IF(OR(B190="",AND(A190=A189 ,B190=B189)),"",SUMIFS($D$5:$D$504,$A$5:$A$504,A190,$B$5:$B$504,B190)+SUMIFS($E$5:$E$504,$A$5:$A$504,A190,$B$5:$B$504,B190)-SUMIFS($F$5:$F$504,$A$5:$A$504,A190,$B$5:$B$504,B190))</f>
        <v/>
      </c>
      <c r="H190" s="33" t="str">
        <f aca="false">IF(OR(B190="",AND(A190=A189 ,B190=B189)),"",SUMIFS($F$5:$F$504,$A$5:$A$504,A190,$B$5:$B$504,B190))</f>
        <v/>
      </c>
      <c r="I190" s="34"/>
      <c r="J190" s="35"/>
    </row>
    <row r="191" customFormat="false" ht="15" hidden="false" customHeight="false" outlineLevel="0" collapsed="false">
      <c r="A191" s="32"/>
      <c r="B191" s="29"/>
      <c r="C191" s="29"/>
      <c r="D191" s="25"/>
      <c r="E191" s="25"/>
      <c r="F191" s="25"/>
      <c r="G191" s="33" t="str">
        <f aca="false">IF(OR(B191="",AND(A191=A190 ,B191=B190)),"",SUMIFS($D$5:$D$504,$A$5:$A$504,A191,$B$5:$B$504,B191)+SUMIFS($E$5:$E$504,$A$5:$A$504,A191,$B$5:$B$504,B191)-SUMIFS($F$5:$F$504,$A$5:$A$504,A191,$B$5:$B$504,B191))</f>
        <v/>
      </c>
      <c r="H191" s="33" t="str">
        <f aca="false">IF(OR(B191="",AND(A191=A190 ,B191=B190)),"",SUMIFS($F$5:$F$504,$A$5:$A$504,A191,$B$5:$B$504,B191))</f>
        <v/>
      </c>
      <c r="I191" s="34"/>
      <c r="J191" s="35"/>
    </row>
    <row r="192" customFormat="false" ht="15" hidden="false" customHeight="false" outlineLevel="0" collapsed="false">
      <c r="A192" s="32"/>
      <c r="B192" s="29"/>
      <c r="C192" s="29"/>
      <c r="D192" s="25"/>
      <c r="E192" s="25"/>
      <c r="F192" s="25"/>
      <c r="G192" s="33" t="str">
        <f aca="false">IF(OR(B192="",AND(A192=A191 ,B192=B191)),"",SUMIFS($D$5:$D$504,$A$5:$A$504,A192,$B$5:$B$504,B192)+SUMIFS($E$5:$E$504,$A$5:$A$504,A192,$B$5:$B$504,B192)-SUMIFS($F$5:$F$504,$A$5:$A$504,A192,$B$5:$B$504,B192))</f>
        <v/>
      </c>
      <c r="H192" s="33" t="str">
        <f aca="false">IF(OR(B192="",AND(A192=A191 ,B192=B191)),"",SUMIFS($F$5:$F$504,$A$5:$A$504,A192,$B$5:$B$504,B192))</f>
        <v/>
      </c>
      <c r="I192" s="34"/>
      <c r="J192" s="35"/>
    </row>
    <row r="193" customFormat="false" ht="15" hidden="false" customHeight="false" outlineLevel="0" collapsed="false">
      <c r="A193" s="32"/>
      <c r="B193" s="29"/>
      <c r="C193" s="29"/>
      <c r="D193" s="25"/>
      <c r="E193" s="25"/>
      <c r="F193" s="25"/>
      <c r="G193" s="33" t="str">
        <f aca="false">IF(OR(B193="",AND(A193=A192 ,B193=B192)),"",SUMIFS($D$5:$D$504,$A$5:$A$504,A193,$B$5:$B$504,B193)+SUMIFS($E$5:$E$504,$A$5:$A$504,A193,$B$5:$B$504,B193)-SUMIFS($F$5:$F$504,$A$5:$A$504,A193,$B$5:$B$504,B193))</f>
        <v/>
      </c>
      <c r="H193" s="33" t="str">
        <f aca="false">IF(OR(B193="",AND(A193=A192 ,B193=B192)),"",SUMIFS($F$5:$F$504,$A$5:$A$504,A193,$B$5:$B$504,B193))</f>
        <v/>
      </c>
      <c r="I193" s="34"/>
      <c r="J193" s="35"/>
    </row>
    <row r="194" customFormat="false" ht="15" hidden="false" customHeight="false" outlineLevel="0" collapsed="false">
      <c r="A194" s="32"/>
      <c r="B194" s="29"/>
      <c r="C194" s="29"/>
      <c r="D194" s="25"/>
      <c r="E194" s="25"/>
      <c r="F194" s="25"/>
      <c r="G194" s="33" t="str">
        <f aca="false">IF(OR(B194="",AND(A194=A193 ,B194=B193)),"",SUMIFS($D$5:$D$504,$A$5:$A$504,A194,$B$5:$B$504,B194)+SUMIFS($E$5:$E$504,$A$5:$A$504,A194,$B$5:$B$504,B194)-SUMIFS($F$5:$F$504,$A$5:$A$504,A194,$B$5:$B$504,B194))</f>
        <v/>
      </c>
      <c r="H194" s="33" t="str">
        <f aca="false">IF(OR(B194="",AND(A194=A193 ,B194=B193)),"",SUMIFS($F$5:$F$504,$A$5:$A$504,A194,$B$5:$B$504,B194))</f>
        <v/>
      </c>
      <c r="I194" s="34"/>
      <c r="J194" s="35"/>
    </row>
    <row r="195" customFormat="false" ht="15" hidden="false" customHeight="false" outlineLevel="0" collapsed="false">
      <c r="A195" s="32"/>
      <c r="B195" s="29"/>
      <c r="C195" s="29"/>
      <c r="D195" s="25"/>
      <c r="E195" s="25"/>
      <c r="F195" s="25"/>
      <c r="G195" s="33" t="str">
        <f aca="false">IF(OR(B195="",AND(A195=A194 ,B195=B194)),"",SUMIFS($D$5:$D$504,$A$5:$A$504,A195,$B$5:$B$504,B195)+SUMIFS($E$5:$E$504,$A$5:$A$504,A195,$B$5:$B$504,B195)-SUMIFS($F$5:$F$504,$A$5:$A$504,A195,$B$5:$B$504,B195))</f>
        <v/>
      </c>
      <c r="H195" s="33" t="str">
        <f aca="false">IF(OR(B195="",AND(A195=A194 ,B195=B194)),"",SUMIFS($F$5:$F$504,$A$5:$A$504,A195,$B$5:$B$504,B195))</f>
        <v/>
      </c>
      <c r="I195" s="34"/>
      <c r="J195" s="35"/>
    </row>
    <row r="196" customFormat="false" ht="15" hidden="false" customHeight="false" outlineLevel="0" collapsed="false">
      <c r="A196" s="32"/>
      <c r="B196" s="29"/>
      <c r="C196" s="29"/>
      <c r="D196" s="25"/>
      <c r="E196" s="25"/>
      <c r="F196" s="25"/>
      <c r="G196" s="33" t="str">
        <f aca="false">IF(OR(B196="",AND(A196=A195 ,B196=B195)),"",SUMIFS($D$5:$D$504,$A$5:$A$504,A196,$B$5:$B$504,B196)+SUMIFS($E$5:$E$504,$A$5:$A$504,A196,$B$5:$B$504,B196)-SUMIFS($F$5:$F$504,$A$5:$A$504,A196,$B$5:$B$504,B196))</f>
        <v/>
      </c>
      <c r="H196" s="33" t="str">
        <f aca="false">IF(OR(B196="",AND(A196=A195 ,B196=B195)),"",SUMIFS($F$5:$F$504,$A$5:$A$504,A196,$B$5:$B$504,B196))</f>
        <v/>
      </c>
      <c r="I196" s="34"/>
      <c r="J196" s="35"/>
    </row>
    <row r="197" customFormat="false" ht="15" hidden="false" customHeight="false" outlineLevel="0" collapsed="false">
      <c r="A197" s="32"/>
      <c r="B197" s="29"/>
      <c r="C197" s="29"/>
      <c r="D197" s="25"/>
      <c r="E197" s="25"/>
      <c r="F197" s="25"/>
      <c r="G197" s="33" t="str">
        <f aca="false">IF(OR(B197="",AND(A197=A196 ,B197=B196)),"",SUMIFS($D$5:$D$504,$A$5:$A$504,A197,$B$5:$B$504,B197)+SUMIFS($E$5:$E$504,$A$5:$A$504,A197,$B$5:$B$504,B197)-SUMIFS($F$5:$F$504,$A$5:$A$504,A197,$B$5:$B$504,B197))</f>
        <v/>
      </c>
      <c r="H197" s="33" t="str">
        <f aca="false">IF(OR(B197="",AND(A197=A196 ,B197=B196)),"",SUMIFS($F$5:$F$504,$A$5:$A$504,A197,$B$5:$B$504,B197))</f>
        <v/>
      </c>
      <c r="I197" s="34"/>
      <c r="J197" s="35"/>
    </row>
    <row r="198" customFormat="false" ht="15" hidden="false" customHeight="false" outlineLevel="0" collapsed="false">
      <c r="A198" s="32"/>
      <c r="B198" s="29"/>
      <c r="C198" s="29"/>
      <c r="D198" s="25"/>
      <c r="E198" s="25"/>
      <c r="F198" s="25"/>
      <c r="G198" s="33" t="str">
        <f aca="false">IF(OR(B198="",AND(A198=A197 ,B198=B197)),"",SUMIFS($D$5:$D$504,$A$5:$A$504,A198,$B$5:$B$504,B198)+SUMIFS($E$5:$E$504,$A$5:$A$504,A198,$B$5:$B$504,B198)-SUMIFS($F$5:$F$504,$A$5:$A$504,A198,$B$5:$B$504,B198))</f>
        <v/>
      </c>
      <c r="H198" s="33" t="str">
        <f aca="false">IF(OR(B198="",AND(A198=A197 ,B198=B197)),"",SUMIFS($F$5:$F$504,$A$5:$A$504,A198,$B$5:$B$504,B198))</f>
        <v/>
      </c>
      <c r="I198" s="34"/>
      <c r="J198" s="35"/>
    </row>
    <row r="199" customFormat="false" ht="15" hidden="false" customHeight="false" outlineLevel="0" collapsed="false">
      <c r="A199" s="32"/>
      <c r="B199" s="29"/>
      <c r="C199" s="29"/>
      <c r="D199" s="25"/>
      <c r="E199" s="25"/>
      <c r="F199" s="25"/>
      <c r="G199" s="33" t="str">
        <f aca="false">IF(OR(B199="",AND(A199=A198 ,B199=B198)),"",SUMIFS($D$5:$D$504,$A$5:$A$504,A199,$B$5:$B$504,B199)+SUMIFS($E$5:$E$504,$A$5:$A$504,A199,$B$5:$B$504,B199)-SUMIFS($F$5:$F$504,$A$5:$A$504,A199,$B$5:$B$504,B199))</f>
        <v/>
      </c>
      <c r="H199" s="33" t="str">
        <f aca="false">IF(OR(B199="",AND(A199=A198 ,B199=B198)),"",SUMIFS($F$5:$F$504,$A$5:$A$504,A199,$B$5:$B$504,B199))</f>
        <v/>
      </c>
      <c r="I199" s="34"/>
      <c r="J199" s="35"/>
    </row>
    <row r="200" customFormat="false" ht="15" hidden="false" customHeight="false" outlineLevel="0" collapsed="false">
      <c r="A200" s="32"/>
      <c r="B200" s="29"/>
      <c r="C200" s="29"/>
      <c r="D200" s="25"/>
      <c r="E200" s="25"/>
      <c r="F200" s="25"/>
      <c r="G200" s="33" t="str">
        <f aca="false">IF(OR(B200="",AND(A200=A199 ,B200=B199)),"",SUMIFS($D$5:$D$504,$A$5:$A$504,A200,$B$5:$B$504,B200)+SUMIFS($E$5:$E$504,$A$5:$A$504,A200,$B$5:$B$504,B200)-SUMIFS($F$5:$F$504,$A$5:$A$504,A200,$B$5:$B$504,B200))</f>
        <v/>
      </c>
      <c r="H200" s="33" t="str">
        <f aca="false">IF(OR(B200="",AND(A200=A199 ,B200=B199)),"",SUMIFS($F$5:$F$504,$A$5:$A$504,A200,$B$5:$B$504,B200))</f>
        <v/>
      </c>
      <c r="I200" s="34"/>
      <c r="J200" s="35"/>
    </row>
    <row r="201" customFormat="false" ht="15" hidden="false" customHeight="false" outlineLevel="0" collapsed="false">
      <c r="A201" s="32"/>
      <c r="B201" s="29"/>
      <c r="C201" s="29"/>
      <c r="D201" s="25"/>
      <c r="E201" s="25"/>
      <c r="F201" s="25"/>
      <c r="G201" s="33" t="str">
        <f aca="false">IF(OR(B201="",AND(A201=A200 ,B201=B200)),"",SUMIFS($D$5:$D$504,$A$5:$A$504,A201,$B$5:$B$504,B201)+SUMIFS($E$5:$E$504,$A$5:$A$504,A201,$B$5:$B$504,B201)-SUMIFS($F$5:$F$504,$A$5:$A$504,A201,$B$5:$B$504,B201))</f>
        <v/>
      </c>
      <c r="H201" s="33" t="str">
        <f aca="false">IF(OR(B201="",AND(A201=A200 ,B201=B200)),"",SUMIFS($F$5:$F$504,$A$5:$A$504,A201,$B$5:$B$504,B201))</f>
        <v/>
      </c>
      <c r="I201" s="34"/>
      <c r="J201" s="35"/>
    </row>
    <row r="202" customFormat="false" ht="15" hidden="false" customHeight="false" outlineLevel="0" collapsed="false">
      <c r="A202" s="32"/>
      <c r="B202" s="29"/>
      <c r="C202" s="29"/>
      <c r="D202" s="25"/>
      <c r="E202" s="25"/>
      <c r="F202" s="25"/>
      <c r="G202" s="33" t="str">
        <f aca="false">IF(OR(B202="",AND(A202=A201 ,B202=B201)),"",SUMIFS($D$5:$D$504,$A$5:$A$504,A202,$B$5:$B$504,B202)+SUMIFS($E$5:$E$504,$A$5:$A$504,A202,$B$5:$B$504,B202)-SUMIFS($F$5:$F$504,$A$5:$A$504,A202,$B$5:$B$504,B202))</f>
        <v/>
      </c>
      <c r="H202" s="33" t="str">
        <f aca="false">IF(OR(B202="",AND(A202=A201 ,B202=B201)),"",SUMIFS($F$5:$F$504,$A$5:$A$504,A202,$B$5:$B$504,B202))</f>
        <v/>
      </c>
      <c r="I202" s="34"/>
      <c r="J202" s="35"/>
    </row>
    <row r="203" customFormat="false" ht="15" hidden="false" customHeight="false" outlineLevel="0" collapsed="false">
      <c r="A203" s="32"/>
      <c r="B203" s="29"/>
      <c r="C203" s="29"/>
      <c r="D203" s="25"/>
      <c r="E203" s="25"/>
      <c r="F203" s="25"/>
      <c r="G203" s="33" t="str">
        <f aca="false">IF(OR(B203="",AND(A203=A202 ,B203=B202)),"",SUMIFS($D$5:$D$504,$A$5:$A$504,A203,$B$5:$B$504,B203)+SUMIFS($E$5:$E$504,$A$5:$A$504,A203,$B$5:$B$504,B203)-SUMIFS($F$5:$F$504,$A$5:$A$504,A203,$B$5:$B$504,B203))</f>
        <v/>
      </c>
      <c r="H203" s="33" t="str">
        <f aca="false">IF(OR(B203="",AND(A203=A202 ,B203=B202)),"",SUMIFS($F$5:$F$504,$A$5:$A$504,A203,$B$5:$B$504,B203))</f>
        <v/>
      </c>
      <c r="I203" s="34"/>
      <c r="J203" s="35"/>
    </row>
    <row r="204" customFormat="false" ht="15" hidden="false" customHeight="false" outlineLevel="0" collapsed="false">
      <c r="A204" s="32"/>
      <c r="B204" s="29"/>
      <c r="C204" s="29"/>
      <c r="D204" s="25"/>
      <c r="E204" s="25"/>
      <c r="F204" s="25"/>
      <c r="G204" s="33" t="str">
        <f aca="false">IF(OR(B204="",AND(A204=A203 ,B204=B203)),"",SUMIFS($D$5:$D$504,$A$5:$A$504,A204,$B$5:$B$504,B204)+SUMIFS($E$5:$E$504,$A$5:$A$504,A204,$B$5:$B$504,B204)-SUMIFS($F$5:$F$504,$A$5:$A$504,A204,$B$5:$B$504,B204))</f>
        <v/>
      </c>
      <c r="H204" s="33" t="str">
        <f aca="false">IF(OR(B204="",AND(A204=A203 ,B204=B203)),"",SUMIFS($F$5:$F$504,$A$5:$A$504,A204,$B$5:$B$504,B204))</f>
        <v/>
      </c>
      <c r="I204" s="34"/>
      <c r="J204" s="35"/>
    </row>
    <row r="205" customFormat="false" ht="15" hidden="false" customHeight="false" outlineLevel="0" collapsed="false">
      <c r="A205" s="32"/>
      <c r="B205" s="29"/>
      <c r="C205" s="29"/>
      <c r="D205" s="25"/>
      <c r="E205" s="25"/>
      <c r="F205" s="25"/>
      <c r="G205" s="33" t="str">
        <f aca="false">IF(OR(B205="",AND(A205=A204 ,B205=B204)),"",SUMIFS($D$5:$D$504,$A$5:$A$504,A205,$B$5:$B$504,B205)+SUMIFS($E$5:$E$504,$A$5:$A$504,A205,$B$5:$B$504,B205)-SUMIFS($F$5:$F$504,$A$5:$A$504,A205,$B$5:$B$504,B205))</f>
        <v/>
      </c>
      <c r="H205" s="33" t="str">
        <f aca="false">IF(OR(B205="",AND(A205=A204 ,B205=B204)),"",SUMIFS($F$5:$F$504,$A$5:$A$504,A205,$B$5:$B$504,B205))</f>
        <v/>
      </c>
      <c r="I205" s="34"/>
      <c r="J205" s="35"/>
    </row>
    <row r="206" customFormat="false" ht="15" hidden="false" customHeight="false" outlineLevel="0" collapsed="false">
      <c r="A206" s="32"/>
      <c r="B206" s="29"/>
      <c r="C206" s="29"/>
      <c r="D206" s="25"/>
      <c r="E206" s="25"/>
      <c r="F206" s="25"/>
      <c r="G206" s="33" t="str">
        <f aca="false">IF(OR(B206="",AND(A206=A205 ,B206=B205)),"",SUMIFS($D$5:$D$504,$A$5:$A$504,A206,$B$5:$B$504,B206)+SUMIFS($E$5:$E$504,$A$5:$A$504,A206,$B$5:$B$504,B206)-SUMIFS($F$5:$F$504,$A$5:$A$504,A206,$B$5:$B$504,B206))</f>
        <v/>
      </c>
      <c r="H206" s="33" t="str">
        <f aca="false">IF(OR(B206="",AND(A206=A205 ,B206=B205)),"",SUMIFS($F$5:$F$504,$A$5:$A$504,A206,$B$5:$B$504,B206))</f>
        <v/>
      </c>
      <c r="I206" s="34"/>
      <c r="J206" s="35"/>
    </row>
    <row r="207" customFormat="false" ht="15" hidden="false" customHeight="false" outlineLevel="0" collapsed="false">
      <c r="A207" s="32"/>
      <c r="B207" s="29"/>
      <c r="C207" s="29"/>
      <c r="D207" s="25"/>
      <c r="E207" s="25"/>
      <c r="F207" s="25"/>
      <c r="G207" s="33" t="str">
        <f aca="false">IF(OR(B207="",AND(A207=A206 ,B207=B206)),"",SUMIFS($D$5:$D$504,$A$5:$A$504,A207,$B$5:$B$504,B207)+SUMIFS($E$5:$E$504,$A$5:$A$504,A207,$B$5:$B$504,B207)-SUMIFS($F$5:$F$504,$A$5:$A$504,A207,$B$5:$B$504,B207))</f>
        <v/>
      </c>
      <c r="H207" s="33" t="str">
        <f aca="false">IF(OR(B207="",AND(A207=A206 ,B207=B206)),"",SUMIFS($F$5:$F$504,$A$5:$A$504,A207,$B$5:$B$504,B207))</f>
        <v/>
      </c>
      <c r="I207" s="34"/>
      <c r="J207" s="35"/>
    </row>
    <row r="208" customFormat="false" ht="15" hidden="false" customHeight="false" outlineLevel="0" collapsed="false">
      <c r="A208" s="32"/>
      <c r="B208" s="29"/>
      <c r="C208" s="29"/>
      <c r="D208" s="25"/>
      <c r="E208" s="25"/>
      <c r="F208" s="25"/>
      <c r="G208" s="33" t="str">
        <f aca="false">IF(OR(B208="",AND(A208=A207 ,B208=B207)),"",SUMIFS($D$5:$D$504,$A$5:$A$504,A208,$B$5:$B$504,B208)+SUMIFS($E$5:$E$504,$A$5:$A$504,A208,$B$5:$B$504,B208)-SUMIFS($F$5:$F$504,$A$5:$A$504,A208,$B$5:$B$504,B208))</f>
        <v/>
      </c>
      <c r="H208" s="33" t="str">
        <f aca="false">IF(OR(B208="",AND(A208=A207 ,B208=B207)),"",SUMIFS($F$5:$F$504,$A$5:$A$504,A208,$B$5:$B$504,B208))</f>
        <v/>
      </c>
      <c r="I208" s="34"/>
      <c r="J208" s="35"/>
    </row>
    <row r="209" customFormat="false" ht="15" hidden="false" customHeight="false" outlineLevel="0" collapsed="false">
      <c r="A209" s="32"/>
      <c r="B209" s="29"/>
      <c r="C209" s="29"/>
      <c r="D209" s="25"/>
      <c r="E209" s="25"/>
      <c r="F209" s="25"/>
      <c r="G209" s="33" t="str">
        <f aca="false">IF(OR(B209="",AND(A209=A208 ,B209=B208)),"",SUMIFS($D$5:$D$504,$A$5:$A$504,A209,$B$5:$B$504,B209)+SUMIFS($E$5:$E$504,$A$5:$A$504,A209,$B$5:$B$504,B209)-SUMIFS($F$5:$F$504,$A$5:$A$504,A209,$B$5:$B$504,B209))</f>
        <v/>
      </c>
      <c r="H209" s="33" t="str">
        <f aca="false">IF(OR(B209="",AND(A209=A208 ,B209=B208)),"",SUMIFS($F$5:$F$504,$A$5:$A$504,A209,$B$5:$B$504,B209))</f>
        <v/>
      </c>
      <c r="I209" s="34"/>
      <c r="J209" s="35"/>
    </row>
    <row r="210" customFormat="false" ht="15" hidden="false" customHeight="false" outlineLevel="0" collapsed="false">
      <c r="A210" s="32"/>
      <c r="B210" s="29"/>
      <c r="C210" s="29"/>
      <c r="D210" s="25"/>
      <c r="E210" s="25"/>
      <c r="F210" s="25"/>
      <c r="G210" s="33" t="str">
        <f aca="false">IF(OR(B210="",AND(A210=A209 ,B210=B209)),"",SUMIFS($D$5:$D$504,$A$5:$A$504,A210,$B$5:$B$504,B210)+SUMIFS($E$5:$E$504,$A$5:$A$504,A210,$B$5:$B$504,B210)-SUMIFS($F$5:$F$504,$A$5:$A$504,A210,$B$5:$B$504,B210))</f>
        <v/>
      </c>
      <c r="H210" s="33" t="str">
        <f aca="false">IF(OR(B210="",AND(A210=A209 ,B210=B209)),"",SUMIFS($F$5:$F$504,$A$5:$A$504,A210,$B$5:$B$504,B210))</f>
        <v/>
      </c>
      <c r="I210" s="34"/>
      <c r="J210" s="35"/>
    </row>
    <row r="211" customFormat="false" ht="15" hidden="false" customHeight="false" outlineLevel="0" collapsed="false">
      <c r="A211" s="32"/>
      <c r="B211" s="29"/>
      <c r="C211" s="29"/>
      <c r="D211" s="25"/>
      <c r="E211" s="25"/>
      <c r="F211" s="25"/>
      <c r="G211" s="33" t="str">
        <f aca="false">IF(OR(B211="",AND(A211=A210 ,B211=B210)),"",SUMIFS($D$5:$D$504,$A$5:$A$504,A211,$B$5:$B$504,B211)+SUMIFS($E$5:$E$504,$A$5:$A$504,A211,$B$5:$B$504,B211)-SUMIFS($F$5:$F$504,$A$5:$A$504,A211,$B$5:$B$504,B211))</f>
        <v/>
      </c>
      <c r="H211" s="33" t="str">
        <f aca="false">IF(OR(B211="",AND(A211=A210 ,B211=B210)),"",SUMIFS($F$5:$F$504,$A$5:$A$504,A211,$B$5:$B$504,B211))</f>
        <v/>
      </c>
      <c r="I211" s="34"/>
      <c r="J211" s="35"/>
    </row>
    <row r="212" customFormat="false" ht="15" hidden="false" customHeight="false" outlineLevel="0" collapsed="false">
      <c r="A212" s="32"/>
      <c r="B212" s="29"/>
      <c r="C212" s="29"/>
      <c r="D212" s="25"/>
      <c r="E212" s="25"/>
      <c r="F212" s="25"/>
      <c r="G212" s="33" t="str">
        <f aca="false">IF(OR(B212="",AND(A212=A211 ,B212=B211)),"",SUMIFS($D$5:$D$504,$A$5:$A$504,A212,$B$5:$B$504,B212)+SUMIFS($E$5:$E$504,$A$5:$A$504,A212,$B$5:$B$504,B212)-SUMIFS($F$5:$F$504,$A$5:$A$504,A212,$B$5:$B$504,B212))</f>
        <v/>
      </c>
      <c r="H212" s="33" t="str">
        <f aca="false">IF(OR(B212="",AND(A212=A211 ,B212=B211)),"",SUMIFS($F$5:$F$504,$A$5:$A$504,A212,$B$5:$B$504,B212))</f>
        <v/>
      </c>
      <c r="I212" s="34"/>
      <c r="J212" s="35"/>
    </row>
    <row r="213" customFormat="false" ht="15" hidden="false" customHeight="false" outlineLevel="0" collapsed="false">
      <c r="A213" s="32"/>
      <c r="B213" s="29"/>
      <c r="C213" s="29"/>
      <c r="D213" s="25"/>
      <c r="E213" s="25"/>
      <c r="F213" s="25"/>
      <c r="G213" s="33" t="str">
        <f aca="false">IF(OR(B213="",AND(A213=A212 ,B213=B212)),"",SUMIFS($D$5:$D$504,$A$5:$A$504,A213,$B$5:$B$504,B213)+SUMIFS($E$5:$E$504,$A$5:$A$504,A213,$B$5:$B$504,B213)-SUMIFS($F$5:$F$504,$A$5:$A$504,A213,$B$5:$B$504,B213))</f>
        <v/>
      </c>
      <c r="H213" s="33" t="str">
        <f aca="false">IF(OR(B213="",AND(A213=A212 ,B213=B212)),"",SUMIFS($F$5:$F$504,$A$5:$A$504,A213,$B$5:$B$504,B213))</f>
        <v/>
      </c>
      <c r="I213" s="34"/>
      <c r="J213" s="35"/>
    </row>
    <row r="214" customFormat="false" ht="15" hidden="false" customHeight="false" outlineLevel="0" collapsed="false">
      <c r="A214" s="32"/>
      <c r="B214" s="29"/>
      <c r="C214" s="29"/>
      <c r="D214" s="25"/>
      <c r="E214" s="25"/>
      <c r="F214" s="25"/>
      <c r="G214" s="33" t="str">
        <f aca="false">IF(OR(B214="",AND(A214=A213 ,B214=B213)),"",SUMIFS($D$5:$D$504,$A$5:$A$504,A214,$B$5:$B$504,B214)+SUMIFS($E$5:$E$504,$A$5:$A$504,A214,$B$5:$B$504,B214)-SUMIFS($F$5:$F$504,$A$5:$A$504,A214,$B$5:$B$504,B214))</f>
        <v/>
      </c>
      <c r="H214" s="33" t="str">
        <f aca="false">IF(OR(B214="",AND(A214=A213 ,B214=B213)),"",SUMIFS($F$5:$F$504,$A$5:$A$504,A214,$B$5:$B$504,B214))</f>
        <v/>
      </c>
      <c r="I214" s="34"/>
      <c r="J214" s="35"/>
    </row>
    <row r="215" customFormat="false" ht="15" hidden="false" customHeight="false" outlineLevel="0" collapsed="false">
      <c r="A215" s="32"/>
      <c r="B215" s="29"/>
      <c r="C215" s="29"/>
      <c r="D215" s="25"/>
      <c r="E215" s="25"/>
      <c r="F215" s="25"/>
      <c r="G215" s="33" t="str">
        <f aca="false">IF(OR(B215="",AND(A215=A214 ,B215=B214)),"",SUMIFS($D$5:$D$504,$A$5:$A$504,A215,$B$5:$B$504,B215)+SUMIFS($E$5:$E$504,$A$5:$A$504,A215,$B$5:$B$504,B215)-SUMIFS($F$5:$F$504,$A$5:$A$504,A215,$B$5:$B$504,B215))</f>
        <v/>
      </c>
      <c r="H215" s="33" t="str">
        <f aca="false">IF(OR(B215="",AND(A215=A214 ,B215=B214)),"",SUMIFS($F$5:$F$504,$A$5:$A$504,A215,$B$5:$B$504,B215))</f>
        <v/>
      </c>
      <c r="I215" s="34"/>
      <c r="J215" s="35"/>
    </row>
    <row r="216" customFormat="false" ht="15" hidden="false" customHeight="false" outlineLevel="0" collapsed="false">
      <c r="A216" s="32"/>
      <c r="B216" s="29"/>
      <c r="C216" s="29"/>
      <c r="D216" s="25"/>
      <c r="E216" s="25"/>
      <c r="F216" s="25"/>
      <c r="G216" s="33" t="str">
        <f aca="false">IF(OR(B216="",AND(A216=A215 ,B216=B215)),"",SUMIFS($D$5:$D$504,$A$5:$A$504,A216,$B$5:$B$504,B216)+SUMIFS($E$5:$E$504,$A$5:$A$504,A216,$B$5:$B$504,B216)-SUMIFS($F$5:$F$504,$A$5:$A$504,A216,$B$5:$B$504,B216))</f>
        <v/>
      </c>
      <c r="H216" s="33" t="str">
        <f aca="false">IF(OR(B216="",AND(A216=A215 ,B216=B215)),"",SUMIFS($F$5:$F$504,$A$5:$A$504,A216,$B$5:$B$504,B216))</f>
        <v/>
      </c>
      <c r="I216" s="34"/>
      <c r="J216" s="35"/>
    </row>
    <row r="217" customFormat="false" ht="15" hidden="false" customHeight="false" outlineLevel="0" collapsed="false">
      <c r="A217" s="32"/>
      <c r="B217" s="29"/>
      <c r="C217" s="29"/>
      <c r="D217" s="25"/>
      <c r="E217" s="25"/>
      <c r="F217" s="25"/>
      <c r="G217" s="33" t="str">
        <f aca="false">IF(OR(B217="",AND(A217=A216 ,B217=B216)),"",SUMIFS($D$5:$D$504,$A$5:$A$504,A217,$B$5:$B$504,B217)+SUMIFS($E$5:$E$504,$A$5:$A$504,A217,$B$5:$B$504,B217)-SUMIFS($F$5:$F$504,$A$5:$A$504,A217,$B$5:$B$504,B217))</f>
        <v/>
      </c>
      <c r="H217" s="33" t="str">
        <f aca="false">IF(OR(B217="",AND(A217=A216 ,B217=B216)),"",SUMIFS($F$5:$F$504,$A$5:$A$504,A217,$B$5:$B$504,B217))</f>
        <v/>
      </c>
      <c r="I217" s="34"/>
      <c r="J217" s="35"/>
    </row>
    <row r="218" customFormat="false" ht="15" hidden="false" customHeight="false" outlineLevel="0" collapsed="false">
      <c r="A218" s="32"/>
      <c r="B218" s="29"/>
      <c r="C218" s="29"/>
      <c r="D218" s="25"/>
      <c r="E218" s="25"/>
      <c r="F218" s="25"/>
      <c r="G218" s="33" t="str">
        <f aca="false">IF(OR(B218="",AND(A218=A217 ,B218=B217)),"",SUMIFS($D$5:$D$504,$A$5:$A$504,A218,$B$5:$B$504,B218)+SUMIFS($E$5:$E$504,$A$5:$A$504,A218,$B$5:$B$504,B218)-SUMIFS($F$5:$F$504,$A$5:$A$504,A218,$B$5:$B$504,B218))</f>
        <v/>
      </c>
      <c r="H218" s="33" t="str">
        <f aca="false">IF(OR(B218="",AND(A218=A217 ,B218=B217)),"",SUMIFS($F$5:$F$504,$A$5:$A$504,A218,$B$5:$B$504,B218))</f>
        <v/>
      </c>
      <c r="I218" s="34"/>
      <c r="J218" s="35"/>
    </row>
    <row r="219" customFormat="false" ht="15" hidden="false" customHeight="false" outlineLevel="0" collapsed="false">
      <c r="A219" s="32"/>
      <c r="B219" s="29"/>
      <c r="C219" s="29"/>
      <c r="D219" s="25"/>
      <c r="E219" s="25"/>
      <c r="F219" s="25"/>
      <c r="G219" s="33" t="str">
        <f aca="false">IF(OR(B219="",AND(A219=A218 ,B219=B218)),"",SUMIFS($D$5:$D$504,$A$5:$A$504,A219,$B$5:$B$504,B219)+SUMIFS($E$5:$E$504,$A$5:$A$504,A219,$B$5:$B$504,B219)-SUMIFS($F$5:$F$504,$A$5:$A$504,A219,$B$5:$B$504,B219))</f>
        <v/>
      </c>
      <c r="H219" s="33" t="str">
        <f aca="false">IF(OR(B219="",AND(A219=A218 ,B219=B218)),"",SUMIFS($F$5:$F$504,$A$5:$A$504,A219,$B$5:$B$504,B219))</f>
        <v/>
      </c>
      <c r="I219" s="34"/>
      <c r="J219" s="35"/>
    </row>
    <row r="220" customFormat="false" ht="15" hidden="false" customHeight="false" outlineLevel="0" collapsed="false">
      <c r="A220" s="32"/>
      <c r="B220" s="29"/>
      <c r="C220" s="29"/>
      <c r="D220" s="25"/>
      <c r="E220" s="25"/>
      <c r="F220" s="25"/>
      <c r="G220" s="33" t="str">
        <f aca="false">IF(OR(B220="",AND(A220=A219 ,B220=B219)),"",SUMIFS($D$5:$D$504,$A$5:$A$504,A220,$B$5:$B$504,B220)+SUMIFS($E$5:$E$504,$A$5:$A$504,A220,$B$5:$B$504,B220)-SUMIFS($F$5:$F$504,$A$5:$A$504,A220,$B$5:$B$504,B220))</f>
        <v/>
      </c>
      <c r="H220" s="33" t="str">
        <f aca="false">IF(OR(B220="",AND(A220=A219 ,B220=B219)),"",SUMIFS($F$5:$F$504,$A$5:$A$504,A220,$B$5:$B$504,B220))</f>
        <v/>
      </c>
      <c r="I220" s="34"/>
      <c r="J220" s="35"/>
    </row>
    <row r="221" customFormat="false" ht="15" hidden="false" customHeight="false" outlineLevel="0" collapsed="false">
      <c r="A221" s="32"/>
      <c r="B221" s="29"/>
      <c r="C221" s="29"/>
      <c r="D221" s="25"/>
      <c r="E221" s="25"/>
      <c r="F221" s="25"/>
      <c r="G221" s="33" t="str">
        <f aca="false">IF(OR(B221="",AND(A221=A220 ,B221=B220)),"",SUMIFS($D$5:$D$504,$A$5:$A$504,A221,$B$5:$B$504,B221)+SUMIFS($E$5:$E$504,$A$5:$A$504,A221,$B$5:$B$504,B221)-SUMIFS($F$5:$F$504,$A$5:$A$504,A221,$B$5:$B$504,B221))</f>
        <v/>
      </c>
      <c r="H221" s="33" t="str">
        <f aca="false">IF(OR(B221="",AND(A221=A220 ,B221=B220)),"",SUMIFS($F$5:$F$504,$A$5:$A$504,A221,$B$5:$B$504,B221))</f>
        <v/>
      </c>
      <c r="I221" s="34"/>
      <c r="J221" s="35"/>
    </row>
    <row r="222" customFormat="false" ht="15" hidden="false" customHeight="false" outlineLevel="0" collapsed="false">
      <c r="A222" s="32"/>
      <c r="B222" s="29"/>
      <c r="C222" s="29"/>
      <c r="D222" s="25"/>
      <c r="E222" s="25"/>
      <c r="F222" s="25"/>
      <c r="G222" s="33" t="str">
        <f aca="false">IF(OR(B222="",AND(A222=A221 ,B222=B221)),"",SUMIFS($D$5:$D$504,$A$5:$A$504,A222,$B$5:$B$504,B222)+SUMIFS($E$5:$E$504,$A$5:$A$504,A222,$B$5:$B$504,B222)-SUMIFS($F$5:$F$504,$A$5:$A$504,A222,$B$5:$B$504,B222))</f>
        <v/>
      </c>
      <c r="H222" s="33" t="str">
        <f aca="false">IF(OR(B222="",AND(A222=A221 ,B222=B221)),"",SUMIFS($F$5:$F$504,$A$5:$A$504,A222,$B$5:$B$504,B222))</f>
        <v/>
      </c>
      <c r="I222" s="34"/>
      <c r="J222" s="35"/>
    </row>
    <row r="223" customFormat="false" ht="15" hidden="false" customHeight="false" outlineLevel="0" collapsed="false">
      <c r="A223" s="32"/>
      <c r="B223" s="29"/>
      <c r="C223" s="29"/>
      <c r="D223" s="25"/>
      <c r="E223" s="25"/>
      <c r="F223" s="25"/>
      <c r="G223" s="33" t="str">
        <f aca="false">IF(OR(B223="",AND(A223=A222 ,B223=B222)),"",SUMIFS($D$5:$D$504,$A$5:$A$504,A223,$B$5:$B$504,B223)+SUMIFS($E$5:$E$504,$A$5:$A$504,A223,$B$5:$B$504,B223)-SUMIFS($F$5:$F$504,$A$5:$A$504,A223,$B$5:$B$504,B223))</f>
        <v/>
      </c>
      <c r="H223" s="33" t="str">
        <f aca="false">IF(OR(B223="",AND(A223=A222 ,B223=B222)),"",SUMIFS($F$5:$F$504,$A$5:$A$504,A223,$B$5:$B$504,B223))</f>
        <v/>
      </c>
      <c r="I223" s="34"/>
      <c r="J223" s="35"/>
    </row>
    <row r="224" customFormat="false" ht="15" hidden="false" customHeight="false" outlineLevel="0" collapsed="false">
      <c r="A224" s="32"/>
      <c r="B224" s="29"/>
      <c r="C224" s="29"/>
      <c r="D224" s="25"/>
      <c r="E224" s="25"/>
      <c r="F224" s="25"/>
      <c r="G224" s="33" t="str">
        <f aca="false">IF(OR(B224="",AND(A224=A223 ,B224=B223)),"",SUMIFS($D$5:$D$504,$A$5:$A$504,A224,$B$5:$B$504,B224)+SUMIFS($E$5:$E$504,$A$5:$A$504,A224,$B$5:$B$504,B224)-SUMIFS($F$5:$F$504,$A$5:$A$504,A224,$B$5:$B$504,B224))</f>
        <v/>
      </c>
      <c r="H224" s="33" t="str">
        <f aca="false">IF(OR(B224="",AND(A224=A223 ,B224=B223)),"",SUMIFS($F$5:$F$504,$A$5:$A$504,A224,$B$5:$B$504,B224))</f>
        <v/>
      </c>
      <c r="I224" s="34"/>
      <c r="J224" s="35"/>
    </row>
    <row r="225" customFormat="false" ht="15" hidden="false" customHeight="false" outlineLevel="0" collapsed="false">
      <c r="A225" s="32"/>
      <c r="B225" s="29"/>
      <c r="C225" s="29"/>
      <c r="D225" s="25"/>
      <c r="E225" s="25"/>
      <c r="F225" s="25"/>
      <c r="G225" s="33" t="str">
        <f aca="false">IF(OR(B225="",AND(A225=A224 ,B225=B224)),"",SUMIFS($D$5:$D$504,$A$5:$A$504,A225,$B$5:$B$504,B225)+SUMIFS($E$5:$E$504,$A$5:$A$504,A225,$B$5:$B$504,B225)-SUMIFS($F$5:$F$504,$A$5:$A$504,A225,$B$5:$B$504,B225))</f>
        <v/>
      </c>
      <c r="H225" s="33" t="str">
        <f aca="false">IF(OR(B225="",AND(A225=A224 ,B225=B224)),"",SUMIFS($F$5:$F$504,$A$5:$A$504,A225,$B$5:$B$504,B225))</f>
        <v/>
      </c>
      <c r="I225" s="34"/>
      <c r="J225" s="35"/>
    </row>
    <row r="226" customFormat="false" ht="15" hidden="false" customHeight="false" outlineLevel="0" collapsed="false">
      <c r="A226" s="32"/>
      <c r="B226" s="29"/>
      <c r="C226" s="29"/>
      <c r="D226" s="25"/>
      <c r="E226" s="25"/>
      <c r="F226" s="25"/>
      <c r="G226" s="33" t="str">
        <f aca="false">IF(OR(B226="",AND(A226=A225 ,B226=B225)),"",SUMIFS($D$5:$D$504,$A$5:$A$504,A226,$B$5:$B$504,B226)+SUMIFS($E$5:$E$504,$A$5:$A$504,A226,$B$5:$B$504,B226)-SUMIFS($F$5:$F$504,$A$5:$A$504,A226,$B$5:$B$504,B226))</f>
        <v/>
      </c>
      <c r="H226" s="33" t="str">
        <f aca="false">IF(OR(B226="",AND(A226=A225 ,B226=B225)),"",SUMIFS($F$5:$F$504,$A$5:$A$504,A226,$B$5:$B$504,B226))</f>
        <v/>
      </c>
      <c r="I226" s="34"/>
      <c r="J226" s="35"/>
    </row>
    <row r="227" customFormat="false" ht="15" hidden="false" customHeight="false" outlineLevel="0" collapsed="false">
      <c r="A227" s="32"/>
      <c r="B227" s="29"/>
      <c r="C227" s="29"/>
      <c r="D227" s="25"/>
      <c r="E227" s="25"/>
      <c r="F227" s="25"/>
      <c r="G227" s="33" t="str">
        <f aca="false">IF(OR(B227="",AND(A227=A226 ,B227=B226)),"",SUMIFS($D$5:$D$504,$A$5:$A$504,A227,$B$5:$B$504,B227)+SUMIFS($E$5:$E$504,$A$5:$A$504,A227,$B$5:$B$504,B227)-SUMIFS($F$5:$F$504,$A$5:$A$504,A227,$B$5:$B$504,B227))</f>
        <v/>
      </c>
      <c r="H227" s="33" t="str">
        <f aca="false">IF(OR(B227="",AND(A227=A226 ,B227=B226)),"",SUMIFS($F$5:$F$504,$A$5:$A$504,A227,$B$5:$B$504,B227))</f>
        <v/>
      </c>
      <c r="I227" s="34"/>
      <c r="J227" s="35"/>
    </row>
    <row r="228" customFormat="false" ht="15" hidden="false" customHeight="false" outlineLevel="0" collapsed="false">
      <c r="A228" s="32"/>
      <c r="B228" s="29"/>
      <c r="C228" s="29"/>
      <c r="D228" s="25"/>
      <c r="E228" s="25"/>
      <c r="F228" s="25"/>
      <c r="G228" s="33" t="str">
        <f aca="false">IF(OR(B228="",AND(A228=A227 ,B228=B227)),"",SUMIFS($D$5:$D$504,$A$5:$A$504,A228,$B$5:$B$504,B228)+SUMIFS($E$5:$E$504,$A$5:$A$504,A228,$B$5:$B$504,B228)-SUMIFS($F$5:$F$504,$A$5:$A$504,A228,$B$5:$B$504,B228))</f>
        <v/>
      </c>
      <c r="H228" s="33" t="str">
        <f aca="false">IF(OR(B228="",AND(A228=A227 ,B228=B227)),"",SUMIFS($F$5:$F$504,$A$5:$A$504,A228,$B$5:$B$504,B228))</f>
        <v/>
      </c>
      <c r="I228" s="34"/>
      <c r="J228" s="35"/>
    </row>
    <row r="229" customFormat="false" ht="15" hidden="false" customHeight="false" outlineLevel="0" collapsed="false">
      <c r="A229" s="32"/>
      <c r="B229" s="29"/>
      <c r="C229" s="29"/>
      <c r="D229" s="25"/>
      <c r="E229" s="25"/>
      <c r="F229" s="25"/>
      <c r="G229" s="33" t="str">
        <f aca="false">IF(OR(B229="",AND(A229=A228 ,B229=B228)),"",SUMIFS($D$5:$D$504,$A$5:$A$504,A229,$B$5:$B$504,B229)+SUMIFS($E$5:$E$504,$A$5:$A$504,A229,$B$5:$B$504,B229)-SUMIFS($F$5:$F$504,$A$5:$A$504,A229,$B$5:$B$504,B229))</f>
        <v/>
      </c>
      <c r="H229" s="33" t="str">
        <f aca="false">IF(OR(B229="",AND(A229=A228 ,B229=B228)),"",SUMIFS($F$5:$F$504,$A$5:$A$504,A229,$B$5:$B$504,B229))</f>
        <v/>
      </c>
      <c r="I229" s="34"/>
      <c r="J229" s="35"/>
    </row>
    <row r="230" customFormat="false" ht="15" hidden="false" customHeight="false" outlineLevel="0" collapsed="false">
      <c r="A230" s="32"/>
      <c r="B230" s="29"/>
      <c r="C230" s="29"/>
      <c r="D230" s="25"/>
      <c r="E230" s="25"/>
      <c r="F230" s="25"/>
      <c r="G230" s="33" t="str">
        <f aca="false">IF(OR(B230="",AND(A230=A229 ,B230=B229)),"",SUMIFS($D$5:$D$504,$A$5:$A$504,A230,$B$5:$B$504,B230)+SUMIFS($E$5:$E$504,$A$5:$A$504,A230,$B$5:$B$504,B230)-SUMIFS($F$5:$F$504,$A$5:$A$504,A230,$B$5:$B$504,B230))</f>
        <v/>
      </c>
      <c r="H230" s="33" t="str">
        <f aca="false">IF(OR(B230="",AND(A230=A229 ,B230=B229)),"",SUMIFS($F$5:$F$504,$A$5:$A$504,A230,$B$5:$B$504,B230))</f>
        <v/>
      </c>
      <c r="I230" s="34"/>
      <c r="J230" s="35"/>
    </row>
    <row r="231" customFormat="false" ht="15" hidden="false" customHeight="false" outlineLevel="0" collapsed="false">
      <c r="A231" s="32"/>
      <c r="B231" s="29"/>
      <c r="C231" s="29"/>
      <c r="D231" s="25"/>
      <c r="E231" s="25"/>
      <c r="F231" s="25"/>
      <c r="G231" s="33" t="str">
        <f aca="false">IF(OR(B231="",AND(A231=A230 ,B231=B230)),"",SUMIFS($D$5:$D$504,$A$5:$A$504,A231,$B$5:$B$504,B231)+SUMIFS($E$5:$E$504,$A$5:$A$504,A231,$B$5:$B$504,B231)-SUMIFS($F$5:$F$504,$A$5:$A$504,A231,$B$5:$B$504,B231))</f>
        <v/>
      </c>
      <c r="H231" s="33" t="str">
        <f aca="false">IF(OR(B231="",AND(A231=A230 ,B231=B230)),"",SUMIFS($F$5:$F$504,$A$5:$A$504,A231,$B$5:$B$504,B231))</f>
        <v/>
      </c>
      <c r="I231" s="34"/>
      <c r="J231" s="35"/>
    </row>
    <row r="232" customFormat="false" ht="15" hidden="false" customHeight="false" outlineLevel="0" collapsed="false">
      <c r="A232" s="32"/>
      <c r="B232" s="29"/>
      <c r="C232" s="29"/>
      <c r="D232" s="25"/>
      <c r="E232" s="25"/>
      <c r="F232" s="25"/>
      <c r="G232" s="33" t="str">
        <f aca="false">IF(OR(B232="",AND(A232=A231 ,B232=B231)),"",SUMIFS($D$5:$D$504,$A$5:$A$504,A232,$B$5:$B$504,B232)+SUMIFS($E$5:$E$504,$A$5:$A$504,A232,$B$5:$B$504,B232)-SUMIFS($F$5:$F$504,$A$5:$A$504,A232,$B$5:$B$504,B232))</f>
        <v/>
      </c>
      <c r="H232" s="33" t="str">
        <f aca="false">IF(OR(B232="",AND(A232=A231 ,B232=B231)),"",SUMIFS($F$5:$F$504,$A$5:$A$504,A232,$B$5:$B$504,B232))</f>
        <v/>
      </c>
      <c r="I232" s="34"/>
      <c r="J232" s="35"/>
    </row>
    <row r="233" customFormat="false" ht="15" hidden="false" customHeight="false" outlineLevel="0" collapsed="false">
      <c r="A233" s="32"/>
      <c r="B233" s="29"/>
      <c r="C233" s="29"/>
      <c r="D233" s="25"/>
      <c r="E233" s="25"/>
      <c r="F233" s="25"/>
      <c r="G233" s="33" t="str">
        <f aca="false">IF(OR(B233="",AND(A233=A232 ,B233=B232)),"",SUMIFS($D$5:$D$504,$A$5:$A$504,A233,$B$5:$B$504,B233)+SUMIFS($E$5:$E$504,$A$5:$A$504,A233,$B$5:$B$504,B233)-SUMIFS($F$5:$F$504,$A$5:$A$504,A233,$B$5:$B$504,B233))</f>
        <v/>
      </c>
      <c r="H233" s="33" t="str">
        <f aca="false">IF(OR(B233="",AND(A233=A232 ,B233=B232)),"",SUMIFS($F$5:$F$504,$A$5:$A$504,A233,$B$5:$B$504,B233))</f>
        <v/>
      </c>
      <c r="I233" s="34"/>
      <c r="J233" s="35"/>
    </row>
    <row r="234" customFormat="false" ht="15" hidden="false" customHeight="false" outlineLevel="0" collapsed="false">
      <c r="A234" s="32"/>
      <c r="B234" s="29"/>
      <c r="C234" s="29"/>
      <c r="D234" s="25"/>
      <c r="E234" s="25"/>
      <c r="F234" s="25"/>
      <c r="G234" s="33" t="str">
        <f aca="false">IF(OR(B234="",AND(A234=A233 ,B234=B233)),"",SUMIFS($D$5:$D$504,$A$5:$A$504,A234,$B$5:$B$504,B234)+SUMIFS($E$5:$E$504,$A$5:$A$504,A234,$B$5:$B$504,B234)-SUMIFS($F$5:$F$504,$A$5:$A$504,A234,$B$5:$B$504,B234))</f>
        <v/>
      </c>
      <c r="H234" s="33" t="str">
        <f aca="false">IF(OR(B234="",AND(A234=A233 ,B234=B233)),"",SUMIFS($F$5:$F$504,$A$5:$A$504,A234,$B$5:$B$504,B234))</f>
        <v/>
      </c>
      <c r="I234" s="34"/>
      <c r="J234" s="35"/>
    </row>
    <row r="235" customFormat="false" ht="15" hidden="false" customHeight="false" outlineLevel="0" collapsed="false">
      <c r="A235" s="32"/>
      <c r="B235" s="29"/>
      <c r="C235" s="29"/>
      <c r="D235" s="25"/>
      <c r="E235" s="25"/>
      <c r="F235" s="25"/>
      <c r="G235" s="33" t="str">
        <f aca="false">IF(OR(B235="",AND(A235=A234 ,B235=B234)),"",SUMIFS($D$5:$D$504,$A$5:$A$504,A235,$B$5:$B$504,B235)+SUMIFS($E$5:$E$504,$A$5:$A$504,A235,$B$5:$B$504,B235)-SUMIFS($F$5:$F$504,$A$5:$A$504,A235,$B$5:$B$504,B235))</f>
        <v/>
      </c>
      <c r="H235" s="33" t="str">
        <f aca="false">IF(OR(B235="",AND(A235=A234 ,B235=B234)),"",SUMIFS($F$5:$F$504,$A$5:$A$504,A235,$B$5:$B$504,B235))</f>
        <v/>
      </c>
      <c r="I235" s="34"/>
      <c r="J235" s="35"/>
    </row>
    <row r="236" customFormat="false" ht="15" hidden="false" customHeight="false" outlineLevel="0" collapsed="false">
      <c r="A236" s="32"/>
      <c r="B236" s="29"/>
      <c r="C236" s="29"/>
      <c r="D236" s="25"/>
      <c r="E236" s="25"/>
      <c r="F236" s="25"/>
      <c r="G236" s="33" t="str">
        <f aca="false">IF(OR(B236="",AND(A236=A235 ,B236=B235)),"",SUMIFS($D$5:$D$504,$A$5:$A$504,A236,$B$5:$B$504,B236)+SUMIFS($E$5:$E$504,$A$5:$A$504,A236,$B$5:$B$504,B236)-SUMIFS($F$5:$F$504,$A$5:$A$504,A236,$B$5:$B$504,B236))</f>
        <v/>
      </c>
      <c r="H236" s="33" t="str">
        <f aca="false">IF(OR(B236="",AND(A236=A235 ,B236=B235)),"",SUMIFS($F$5:$F$504,$A$5:$A$504,A236,$B$5:$B$504,B236))</f>
        <v/>
      </c>
      <c r="I236" s="34"/>
      <c r="J236" s="35"/>
    </row>
    <row r="237" customFormat="false" ht="15" hidden="false" customHeight="false" outlineLevel="0" collapsed="false">
      <c r="A237" s="32"/>
      <c r="B237" s="29"/>
      <c r="C237" s="29"/>
      <c r="D237" s="25"/>
      <c r="E237" s="25"/>
      <c r="F237" s="25"/>
      <c r="G237" s="33" t="str">
        <f aca="false">IF(OR(B237="",AND(A237=A236 ,B237=B236)),"",SUMIFS($D$5:$D$504,$A$5:$A$504,A237,$B$5:$B$504,B237)+SUMIFS($E$5:$E$504,$A$5:$A$504,A237,$B$5:$B$504,B237)-SUMIFS($F$5:$F$504,$A$5:$A$504,A237,$B$5:$B$504,B237))</f>
        <v/>
      </c>
      <c r="H237" s="33" t="str">
        <f aca="false">IF(OR(B237="",AND(A237=A236 ,B237=B236)),"",SUMIFS($F$5:$F$504,$A$5:$A$504,A237,$B$5:$B$504,B237))</f>
        <v/>
      </c>
      <c r="I237" s="34"/>
      <c r="J237" s="35"/>
    </row>
    <row r="238" customFormat="false" ht="15" hidden="false" customHeight="false" outlineLevel="0" collapsed="false">
      <c r="A238" s="32"/>
      <c r="B238" s="29"/>
      <c r="C238" s="29"/>
      <c r="D238" s="25"/>
      <c r="E238" s="25"/>
      <c r="F238" s="25"/>
      <c r="G238" s="33" t="str">
        <f aca="false">IF(OR(B238="",AND(A238=A237 ,B238=B237)),"",SUMIFS($D$5:$D$504,$A$5:$A$504,A238,$B$5:$B$504,B238)+SUMIFS($E$5:$E$504,$A$5:$A$504,A238,$B$5:$B$504,B238)-SUMIFS($F$5:$F$504,$A$5:$A$504,A238,$B$5:$B$504,B238))</f>
        <v/>
      </c>
      <c r="H238" s="33" t="str">
        <f aca="false">IF(OR(B238="",AND(A238=A237 ,B238=B237)),"",SUMIFS($F$5:$F$504,$A$5:$A$504,A238,$B$5:$B$504,B238))</f>
        <v/>
      </c>
      <c r="I238" s="34"/>
      <c r="J238" s="35"/>
    </row>
    <row r="239" customFormat="false" ht="15" hidden="false" customHeight="false" outlineLevel="0" collapsed="false">
      <c r="A239" s="32"/>
      <c r="B239" s="29"/>
      <c r="C239" s="29"/>
      <c r="D239" s="25"/>
      <c r="E239" s="25"/>
      <c r="F239" s="25"/>
      <c r="G239" s="33" t="str">
        <f aca="false">IF(OR(B239="",AND(A239=A238 ,B239=B238)),"",SUMIFS($D$5:$D$504,$A$5:$A$504,A239,$B$5:$B$504,B239)+SUMIFS($E$5:$E$504,$A$5:$A$504,A239,$B$5:$B$504,B239)-SUMIFS($F$5:$F$504,$A$5:$A$504,A239,$B$5:$B$504,B239))</f>
        <v/>
      </c>
      <c r="H239" s="33" t="str">
        <f aca="false">IF(OR(B239="",AND(A239=A238 ,B239=B238)),"",SUMIFS($F$5:$F$504,$A$5:$A$504,A239,$B$5:$B$504,B239))</f>
        <v/>
      </c>
      <c r="I239" s="34"/>
      <c r="J239" s="35"/>
    </row>
    <row r="240" customFormat="false" ht="15" hidden="false" customHeight="false" outlineLevel="0" collapsed="false">
      <c r="A240" s="32"/>
      <c r="B240" s="29"/>
      <c r="C240" s="29"/>
      <c r="D240" s="25"/>
      <c r="E240" s="25"/>
      <c r="F240" s="25"/>
      <c r="G240" s="33" t="str">
        <f aca="false">IF(OR(B240="",AND(A240=A239 ,B240=B239)),"",SUMIFS($D$5:$D$504,$A$5:$A$504,A240,$B$5:$B$504,B240)+SUMIFS($E$5:$E$504,$A$5:$A$504,A240,$B$5:$B$504,B240)-SUMIFS($F$5:$F$504,$A$5:$A$504,A240,$B$5:$B$504,B240))</f>
        <v/>
      </c>
      <c r="H240" s="33" t="str">
        <f aca="false">IF(OR(B240="",AND(A240=A239 ,B240=B239)),"",SUMIFS($F$5:$F$504,$A$5:$A$504,A240,$B$5:$B$504,B240))</f>
        <v/>
      </c>
      <c r="I240" s="34"/>
      <c r="J240" s="35"/>
    </row>
    <row r="241" customFormat="false" ht="15" hidden="false" customHeight="false" outlineLevel="0" collapsed="false">
      <c r="A241" s="32"/>
      <c r="B241" s="29"/>
      <c r="C241" s="29"/>
      <c r="D241" s="25"/>
      <c r="E241" s="25"/>
      <c r="F241" s="25"/>
      <c r="G241" s="33" t="str">
        <f aca="false">IF(OR(B241="",AND(A241=A240 ,B241=B240)),"",SUMIFS($D$5:$D$504,$A$5:$A$504,A241,$B$5:$B$504,B241)+SUMIFS($E$5:$E$504,$A$5:$A$504,A241,$B$5:$B$504,B241)-SUMIFS($F$5:$F$504,$A$5:$A$504,A241,$B$5:$B$504,B241))</f>
        <v/>
      </c>
      <c r="H241" s="33" t="str">
        <f aca="false">IF(OR(B241="",AND(A241=A240 ,B241=B240)),"",SUMIFS($F$5:$F$504,$A$5:$A$504,A241,$B$5:$B$504,B241))</f>
        <v/>
      </c>
      <c r="I241" s="34"/>
      <c r="J241" s="35"/>
    </row>
    <row r="242" customFormat="false" ht="15" hidden="false" customHeight="false" outlineLevel="0" collapsed="false">
      <c r="A242" s="32"/>
      <c r="B242" s="29"/>
      <c r="C242" s="29"/>
      <c r="D242" s="25"/>
      <c r="E242" s="25"/>
      <c r="F242" s="25"/>
      <c r="G242" s="33" t="str">
        <f aca="false">IF(OR(B242="",AND(A242=A241 ,B242=B241)),"",SUMIFS($D$5:$D$504,$A$5:$A$504,A242,$B$5:$B$504,B242)+SUMIFS($E$5:$E$504,$A$5:$A$504,A242,$B$5:$B$504,B242)-SUMIFS($F$5:$F$504,$A$5:$A$504,A242,$B$5:$B$504,B242))</f>
        <v/>
      </c>
      <c r="H242" s="33" t="str">
        <f aca="false">IF(OR(B242="",AND(A242=A241 ,B242=B241)),"",SUMIFS($F$5:$F$504,$A$5:$A$504,A242,$B$5:$B$504,B242))</f>
        <v/>
      </c>
      <c r="I242" s="34"/>
      <c r="J242" s="35"/>
    </row>
    <row r="243" customFormat="false" ht="15" hidden="false" customHeight="false" outlineLevel="0" collapsed="false">
      <c r="A243" s="32"/>
      <c r="B243" s="29"/>
      <c r="C243" s="29"/>
      <c r="D243" s="25"/>
      <c r="E243" s="25"/>
      <c r="F243" s="25"/>
      <c r="G243" s="33" t="str">
        <f aca="false">IF(OR(B243="",AND(A243=A242 ,B243=B242)),"",SUMIFS($D$5:$D$504,$A$5:$A$504,A243,$B$5:$B$504,B243)+SUMIFS($E$5:$E$504,$A$5:$A$504,A243,$B$5:$B$504,B243)-SUMIFS($F$5:$F$504,$A$5:$A$504,A243,$B$5:$B$504,B243))</f>
        <v/>
      </c>
      <c r="H243" s="33" t="str">
        <f aca="false">IF(OR(B243="",AND(A243=A242 ,B243=B242)),"",SUMIFS($F$5:$F$504,$A$5:$A$504,A243,$B$5:$B$504,B243))</f>
        <v/>
      </c>
      <c r="I243" s="34"/>
      <c r="J243" s="35"/>
    </row>
    <row r="244" customFormat="false" ht="15" hidden="false" customHeight="false" outlineLevel="0" collapsed="false">
      <c r="A244" s="32"/>
      <c r="B244" s="29"/>
      <c r="C244" s="29"/>
      <c r="D244" s="25"/>
      <c r="E244" s="25"/>
      <c r="F244" s="25"/>
      <c r="G244" s="33" t="str">
        <f aca="false">IF(OR(B244="",AND(A244=A243 ,B244=B243)),"",SUMIFS($D$5:$D$504,$A$5:$A$504,A244,$B$5:$B$504,B244)+SUMIFS($E$5:$E$504,$A$5:$A$504,A244,$B$5:$B$504,B244)-SUMIFS($F$5:$F$504,$A$5:$A$504,A244,$B$5:$B$504,B244))</f>
        <v/>
      </c>
      <c r="H244" s="33" t="str">
        <f aca="false">IF(OR(B244="",AND(A244=A243 ,B244=B243)),"",SUMIFS($F$5:$F$504,$A$5:$A$504,A244,$B$5:$B$504,B244))</f>
        <v/>
      </c>
      <c r="I244" s="34"/>
      <c r="J244" s="35"/>
    </row>
    <row r="245" customFormat="false" ht="15" hidden="false" customHeight="false" outlineLevel="0" collapsed="false">
      <c r="A245" s="32"/>
      <c r="B245" s="29"/>
      <c r="C245" s="29"/>
      <c r="D245" s="25"/>
      <c r="E245" s="25"/>
      <c r="F245" s="25"/>
      <c r="G245" s="33" t="str">
        <f aca="false">IF(OR(B245="",AND(A245=A244 ,B245=B244)),"",SUMIFS($D$5:$D$504,$A$5:$A$504,A245,$B$5:$B$504,B245)+SUMIFS($E$5:$E$504,$A$5:$A$504,A245,$B$5:$B$504,B245)-SUMIFS($F$5:$F$504,$A$5:$A$504,A245,$B$5:$B$504,B245))</f>
        <v/>
      </c>
      <c r="H245" s="33" t="str">
        <f aca="false">IF(OR(B245="",AND(A245=A244 ,B245=B244)),"",SUMIFS($F$5:$F$504,$A$5:$A$504,A245,$B$5:$B$504,B245))</f>
        <v/>
      </c>
      <c r="I245" s="34"/>
      <c r="J245" s="35"/>
    </row>
    <row r="246" customFormat="false" ht="15" hidden="false" customHeight="false" outlineLevel="0" collapsed="false">
      <c r="A246" s="32"/>
      <c r="B246" s="29"/>
      <c r="C246" s="29"/>
      <c r="D246" s="25"/>
      <c r="E246" s="25"/>
      <c r="F246" s="25"/>
      <c r="G246" s="33" t="str">
        <f aca="false">IF(OR(B246="",AND(A246=A245 ,B246=B245)),"",SUMIFS($D$5:$D$504,$A$5:$A$504,A246,$B$5:$B$504,B246)+SUMIFS($E$5:$E$504,$A$5:$A$504,A246,$B$5:$B$504,B246)-SUMIFS($F$5:$F$504,$A$5:$A$504,A246,$B$5:$B$504,B246))</f>
        <v/>
      </c>
      <c r="H246" s="33" t="str">
        <f aca="false">IF(OR(B246="",AND(A246=A245 ,B246=B245)),"",SUMIFS($F$5:$F$504,$A$5:$A$504,A246,$B$5:$B$504,B246))</f>
        <v/>
      </c>
      <c r="I246" s="34"/>
      <c r="J246" s="35"/>
    </row>
    <row r="247" customFormat="false" ht="15" hidden="false" customHeight="false" outlineLevel="0" collapsed="false">
      <c r="A247" s="32"/>
      <c r="B247" s="29"/>
      <c r="C247" s="29"/>
      <c r="D247" s="25"/>
      <c r="E247" s="25"/>
      <c r="F247" s="25"/>
      <c r="G247" s="33" t="str">
        <f aca="false">IF(OR(B247="",AND(A247=A246 ,B247=B246)),"",SUMIFS($D$5:$D$504,$A$5:$A$504,A247,$B$5:$B$504,B247)+SUMIFS($E$5:$E$504,$A$5:$A$504,A247,$B$5:$B$504,B247)-SUMIFS($F$5:$F$504,$A$5:$A$504,A247,$B$5:$B$504,B247))</f>
        <v/>
      </c>
      <c r="H247" s="33" t="str">
        <f aca="false">IF(OR(B247="",AND(A247=A246 ,B247=B246)),"",SUMIFS($F$5:$F$504,$A$5:$A$504,A247,$B$5:$B$504,B247))</f>
        <v/>
      </c>
      <c r="I247" s="34"/>
      <c r="J247" s="35"/>
    </row>
    <row r="248" customFormat="false" ht="15" hidden="false" customHeight="false" outlineLevel="0" collapsed="false">
      <c r="A248" s="32"/>
      <c r="B248" s="29"/>
      <c r="C248" s="29"/>
      <c r="D248" s="25"/>
      <c r="E248" s="25"/>
      <c r="F248" s="25"/>
      <c r="G248" s="33" t="str">
        <f aca="false">IF(OR(B248="",AND(A248=A247 ,B248=B247)),"",SUMIFS($D$5:$D$504,$A$5:$A$504,A248,$B$5:$B$504,B248)+SUMIFS($E$5:$E$504,$A$5:$A$504,A248,$B$5:$B$504,B248)-SUMIFS($F$5:$F$504,$A$5:$A$504,A248,$B$5:$B$504,B248))</f>
        <v/>
      </c>
      <c r="H248" s="33" t="str">
        <f aca="false">IF(OR(B248="",AND(A248=A247 ,B248=B247)),"",SUMIFS($F$5:$F$504,$A$5:$A$504,A248,$B$5:$B$504,B248))</f>
        <v/>
      </c>
      <c r="I248" s="34"/>
      <c r="J248" s="35"/>
    </row>
    <row r="249" customFormat="false" ht="15" hidden="false" customHeight="false" outlineLevel="0" collapsed="false">
      <c r="A249" s="32"/>
      <c r="B249" s="29"/>
      <c r="C249" s="29"/>
      <c r="D249" s="25"/>
      <c r="E249" s="25"/>
      <c r="F249" s="25"/>
      <c r="G249" s="33" t="str">
        <f aca="false">IF(OR(B249="",AND(A249=A248 ,B249=B248)),"",SUMIFS($D$5:$D$504,$A$5:$A$504,A249,$B$5:$B$504,B249)+SUMIFS($E$5:$E$504,$A$5:$A$504,A249,$B$5:$B$504,B249)-SUMIFS($F$5:$F$504,$A$5:$A$504,A249,$B$5:$B$504,B249))</f>
        <v/>
      </c>
      <c r="H249" s="33" t="str">
        <f aca="false">IF(OR(B249="",AND(A249=A248 ,B249=B248)),"",SUMIFS($F$5:$F$504,$A$5:$A$504,A249,$B$5:$B$504,B249))</f>
        <v/>
      </c>
      <c r="I249" s="34"/>
      <c r="J249" s="35"/>
    </row>
    <row r="250" customFormat="false" ht="15" hidden="false" customHeight="false" outlineLevel="0" collapsed="false">
      <c r="A250" s="32"/>
      <c r="B250" s="29"/>
      <c r="C250" s="29"/>
      <c r="D250" s="25"/>
      <c r="E250" s="25"/>
      <c r="F250" s="25"/>
      <c r="G250" s="33" t="str">
        <f aca="false">IF(OR(B250="",AND(A250=A249 ,B250=B249)),"",SUMIFS($D$5:$D$504,$A$5:$A$504,A250,$B$5:$B$504,B250)+SUMIFS($E$5:$E$504,$A$5:$A$504,A250,$B$5:$B$504,B250)-SUMIFS($F$5:$F$504,$A$5:$A$504,A250,$B$5:$B$504,B250))</f>
        <v/>
      </c>
      <c r="H250" s="33" t="str">
        <f aca="false">IF(OR(B250="",AND(A250=A249 ,B250=B249)),"",SUMIFS($F$5:$F$504,$A$5:$A$504,A250,$B$5:$B$504,B250))</f>
        <v/>
      </c>
      <c r="I250" s="34"/>
      <c r="J250" s="35"/>
    </row>
    <row r="251" customFormat="false" ht="15" hidden="false" customHeight="false" outlineLevel="0" collapsed="false">
      <c r="A251" s="32"/>
      <c r="B251" s="29"/>
      <c r="C251" s="29"/>
      <c r="D251" s="25"/>
      <c r="E251" s="25"/>
      <c r="F251" s="25"/>
      <c r="G251" s="33" t="str">
        <f aca="false">IF(OR(B251="",AND(A251=A250 ,B251=B250)),"",SUMIFS($D$5:$D$504,$A$5:$A$504,A251,$B$5:$B$504,B251)+SUMIFS($E$5:$E$504,$A$5:$A$504,A251,$B$5:$B$504,B251)-SUMIFS($F$5:$F$504,$A$5:$A$504,A251,$B$5:$B$504,B251))</f>
        <v/>
      </c>
      <c r="H251" s="33" t="str">
        <f aca="false">IF(OR(B251="",AND(A251=A250 ,B251=B250)),"",SUMIFS($F$5:$F$504,$A$5:$A$504,A251,$B$5:$B$504,B251))</f>
        <v/>
      </c>
      <c r="I251" s="34"/>
      <c r="J251" s="35"/>
    </row>
    <row r="252" customFormat="false" ht="15" hidden="false" customHeight="false" outlineLevel="0" collapsed="false">
      <c r="A252" s="32"/>
      <c r="B252" s="29"/>
      <c r="C252" s="29"/>
      <c r="D252" s="25"/>
      <c r="E252" s="25"/>
      <c r="F252" s="25"/>
      <c r="G252" s="33" t="str">
        <f aca="false">IF(OR(B252="",AND(A252=A251 ,B252=B251)),"",SUMIFS($D$5:$D$504,$A$5:$A$504,A252,$B$5:$B$504,B252)+SUMIFS($E$5:$E$504,$A$5:$A$504,A252,$B$5:$B$504,B252)-SUMIFS($F$5:$F$504,$A$5:$A$504,A252,$B$5:$B$504,B252))</f>
        <v/>
      </c>
      <c r="H252" s="33" t="str">
        <f aca="false">IF(OR(B252="",AND(A252=A251 ,B252=B251)),"",SUMIFS($F$5:$F$504,$A$5:$A$504,A252,$B$5:$B$504,B252))</f>
        <v/>
      </c>
      <c r="I252" s="34"/>
      <c r="J252" s="35"/>
    </row>
    <row r="253" customFormat="false" ht="15" hidden="false" customHeight="false" outlineLevel="0" collapsed="false">
      <c r="A253" s="32"/>
      <c r="B253" s="29"/>
      <c r="C253" s="29"/>
      <c r="D253" s="25"/>
      <c r="E253" s="25"/>
      <c r="F253" s="25"/>
      <c r="G253" s="33" t="str">
        <f aca="false">IF(OR(B253="",AND(A253=A252 ,B253=B252)),"",SUMIFS($D$5:$D$504,$A$5:$A$504,A253,$B$5:$B$504,B253)+SUMIFS($E$5:$E$504,$A$5:$A$504,A253,$B$5:$B$504,B253)-SUMIFS($F$5:$F$504,$A$5:$A$504,A253,$B$5:$B$504,B253))</f>
        <v/>
      </c>
      <c r="H253" s="33" t="str">
        <f aca="false">IF(OR(B253="",AND(A253=A252 ,B253=B252)),"",SUMIFS($F$5:$F$504,$A$5:$A$504,A253,$B$5:$B$504,B253))</f>
        <v/>
      </c>
      <c r="I253" s="34"/>
      <c r="J253" s="35"/>
    </row>
    <row r="254" customFormat="false" ht="15" hidden="false" customHeight="false" outlineLevel="0" collapsed="false">
      <c r="A254" s="32"/>
      <c r="B254" s="29"/>
      <c r="C254" s="29"/>
      <c r="D254" s="25"/>
      <c r="E254" s="25"/>
      <c r="F254" s="25"/>
      <c r="G254" s="33" t="str">
        <f aca="false">IF(OR(B254="",AND(A254=A253 ,B254=B253)),"",SUMIFS($D$5:$D$504,$A$5:$A$504,A254,$B$5:$B$504,B254)+SUMIFS($E$5:$E$504,$A$5:$A$504,A254,$B$5:$B$504,B254)-SUMIFS($F$5:$F$504,$A$5:$A$504,A254,$B$5:$B$504,B254))</f>
        <v/>
      </c>
      <c r="H254" s="33" t="str">
        <f aca="false">IF(OR(B254="",AND(A254=A253 ,B254=B253)),"",SUMIFS($F$5:$F$504,$A$5:$A$504,A254,$B$5:$B$504,B254))</f>
        <v/>
      </c>
      <c r="I254" s="34"/>
      <c r="J254" s="35"/>
    </row>
    <row r="255" customFormat="false" ht="15" hidden="false" customHeight="false" outlineLevel="0" collapsed="false">
      <c r="A255" s="32"/>
      <c r="B255" s="29"/>
      <c r="C255" s="29"/>
      <c r="D255" s="25"/>
      <c r="E255" s="25"/>
      <c r="F255" s="25"/>
      <c r="G255" s="33" t="str">
        <f aca="false">IF(OR(B255="",AND(A255=A254 ,B255=B254)),"",SUMIFS($D$5:$D$504,$A$5:$A$504,A255,$B$5:$B$504,B255)+SUMIFS($E$5:$E$504,$A$5:$A$504,A255,$B$5:$B$504,B255)-SUMIFS($F$5:$F$504,$A$5:$A$504,A255,$B$5:$B$504,B255))</f>
        <v/>
      </c>
      <c r="H255" s="33" t="str">
        <f aca="false">IF(OR(B255="",AND(A255=A254 ,B255=B254)),"",SUMIFS($F$5:$F$504,$A$5:$A$504,A255,$B$5:$B$504,B255))</f>
        <v/>
      </c>
      <c r="I255" s="34"/>
      <c r="J255" s="35"/>
    </row>
    <row r="256" customFormat="false" ht="15" hidden="false" customHeight="false" outlineLevel="0" collapsed="false">
      <c r="A256" s="32"/>
      <c r="B256" s="29"/>
      <c r="C256" s="29"/>
      <c r="D256" s="25"/>
      <c r="E256" s="25"/>
      <c r="F256" s="25"/>
      <c r="G256" s="33" t="str">
        <f aca="false">IF(OR(B256="",AND(A256=A255 ,B256=B255)),"",SUMIFS($D$5:$D$504,$A$5:$A$504,A256,$B$5:$B$504,B256)+SUMIFS($E$5:$E$504,$A$5:$A$504,A256,$B$5:$B$504,B256)-SUMIFS($F$5:$F$504,$A$5:$A$504,A256,$B$5:$B$504,B256))</f>
        <v/>
      </c>
      <c r="H256" s="33" t="str">
        <f aca="false">IF(OR(B256="",AND(A256=A255 ,B256=B255)),"",SUMIFS($F$5:$F$504,$A$5:$A$504,A256,$B$5:$B$504,B256))</f>
        <v/>
      </c>
      <c r="I256" s="34"/>
      <c r="J256" s="35"/>
    </row>
    <row r="257" customFormat="false" ht="15" hidden="false" customHeight="false" outlineLevel="0" collapsed="false">
      <c r="A257" s="32"/>
      <c r="B257" s="29"/>
      <c r="C257" s="29"/>
      <c r="D257" s="25"/>
      <c r="E257" s="25"/>
      <c r="F257" s="25"/>
      <c r="G257" s="33" t="str">
        <f aca="false">IF(OR(B257="",AND(A257=A256 ,B257=B256)),"",SUMIFS($D$5:$D$504,$A$5:$A$504,A257,$B$5:$B$504,B257)+SUMIFS($E$5:$E$504,$A$5:$A$504,A257,$B$5:$B$504,B257)-SUMIFS($F$5:$F$504,$A$5:$A$504,A257,$B$5:$B$504,B257))</f>
        <v/>
      </c>
      <c r="H257" s="33" t="str">
        <f aca="false">IF(OR(B257="",AND(A257=A256 ,B257=B256)),"",SUMIFS($F$5:$F$504,$A$5:$A$504,A257,$B$5:$B$504,B257))</f>
        <v/>
      </c>
      <c r="I257" s="34"/>
      <c r="J257" s="35"/>
    </row>
    <row r="258" customFormat="false" ht="15" hidden="false" customHeight="false" outlineLevel="0" collapsed="false">
      <c r="A258" s="32"/>
      <c r="B258" s="29"/>
      <c r="C258" s="29"/>
      <c r="D258" s="25"/>
      <c r="E258" s="25"/>
      <c r="F258" s="25"/>
      <c r="G258" s="33" t="str">
        <f aca="false">IF(OR(B258="",AND(A258=A257 ,B258=B257)),"",SUMIFS($D$5:$D$504,$A$5:$A$504,A258,$B$5:$B$504,B258)+SUMIFS($E$5:$E$504,$A$5:$A$504,A258,$B$5:$B$504,B258)-SUMIFS($F$5:$F$504,$A$5:$A$504,A258,$B$5:$B$504,B258))</f>
        <v/>
      </c>
      <c r="H258" s="33" t="str">
        <f aca="false">IF(OR(B258="",AND(A258=A257 ,B258=B257)),"",SUMIFS($F$5:$F$504,$A$5:$A$504,A258,$B$5:$B$504,B258))</f>
        <v/>
      </c>
      <c r="I258" s="34"/>
      <c r="J258" s="35"/>
    </row>
    <row r="259" customFormat="false" ht="15" hidden="false" customHeight="false" outlineLevel="0" collapsed="false">
      <c r="A259" s="32"/>
      <c r="B259" s="29"/>
      <c r="C259" s="29"/>
      <c r="D259" s="25"/>
      <c r="E259" s="25"/>
      <c r="F259" s="25"/>
      <c r="G259" s="33" t="str">
        <f aca="false">IF(OR(B259="",AND(A259=A258 ,B259=B258)),"",SUMIFS($D$5:$D$504,$A$5:$A$504,A259,$B$5:$B$504,B259)+SUMIFS($E$5:$E$504,$A$5:$A$504,A259,$B$5:$B$504,B259)-SUMIFS($F$5:$F$504,$A$5:$A$504,A259,$B$5:$B$504,B259))</f>
        <v/>
      </c>
      <c r="H259" s="33" t="str">
        <f aca="false">IF(OR(B259="",AND(A259=A258 ,B259=B258)),"",SUMIFS($F$5:$F$504,$A$5:$A$504,A259,$B$5:$B$504,B259))</f>
        <v/>
      </c>
      <c r="I259" s="34"/>
      <c r="J259" s="35"/>
    </row>
    <row r="260" customFormat="false" ht="15" hidden="false" customHeight="false" outlineLevel="0" collapsed="false">
      <c r="A260" s="32"/>
      <c r="B260" s="29"/>
      <c r="C260" s="29"/>
      <c r="D260" s="25"/>
      <c r="E260" s="25"/>
      <c r="F260" s="25"/>
      <c r="G260" s="33" t="str">
        <f aca="false">IF(OR(B260="",AND(A260=A259 ,B260=B259)),"",SUMIFS($D$5:$D$504,$A$5:$A$504,A260,$B$5:$B$504,B260)+SUMIFS($E$5:$E$504,$A$5:$A$504,A260,$B$5:$B$504,B260)-SUMIFS($F$5:$F$504,$A$5:$A$504,A260,$B$5:$B$504,B260))</f>
        <v/>
      </c>
      <c r="H260" s="33" t="str">
        <f aca="false">IF(OR(B260="",AND(A260=A259 ,B260=B259)),"",SUMIFS($F$5:$F$504,$A$5:$A$504,A260,$B$5:$B$504,B260))</f>
        <v/>
      </c>
      <c r="I260" s="34"/>
      <c r="J260" s="35"/>
    </row>
    <row r="261" customFormat="false" ht="15" hidden="false" customHeight="false" outlineLevel="0" collapsed="false">
      <c r="A261" s="32"/>
      <c r="B261" s="29"/>
      <c r="C261" s="29"/>
      <c r="D261" s="25"/>
      <c r="E261" s="25"/>
      <c r="F261" s="25"/>
      <c r="G261" s="33" t="str">
        <f aca="false">IF(OR(B261="",AND(A261=A260 ,B261=B260)),"",SUMIFS($D$5:$D$504,$A$5:$A$504,A261,$B$5:$B$504,B261)+SUMIFS($E$5:$E$504,$A$5:$A$504,A261,$B$5:$B$504,B261)-SUMIFS($F$5:$F$504,$A$5:$A$504,A261,$B$5:$B$504,B261))</f>
        <v/>
      </c>
      <c r="H261" s="33" t="str">
        <f aca="false">IF(OR(B261="",AND(A261=A260 ,B261=B260)),"",SUMIFS($F$5:$F$504,$A$5:$A$504,A261,$B$5:$B$504,B261))</f>
        <v/>
      </c>
      <c r="I261" s="34"/>
      <c r="J261" s="35"/>
    </row>
    <row r="262" customFormat="false" ht="15" hidden="false" customHeight="false" outlineLevel="0" collapsed="false">
      <c r="A262" s="32"/>
      <c r="B262" s="29"/>
      <c r="C262" s="29"/>
      <c r="D262" s="25"/>
      <c r="E262" s="25"/>
      <c r="F262" s="25"/>
      <c r="G262" s="33" t="str">
        <f aca="false">IF(OR(B262="",AND(A262=A261 ,B262=B261)),"",SUMIFS($D$5:$D$504,$A$5:$A$504,A262,$B$5:$B$504,B262)+SUMIFS($E$5:$E$504,$A$5:$A$504,A262,$B$5:$B$504,B262)-SUMIFS($F$5:$F$504,$A$5:$A$504,A262,$B$5:$B$504,B262))</f>
        <v/>
      </c>
      <c r="H262" s="33" t="str">
        <f aca="false">IF(OR(B262="",AND(A262=A261 ,B262=B261)),"",SUMIFS($F$5:$F$504,$A$5:$A$504,A262,$B$5:$B$504,B262))</f>
        <v/>
      </c>
      <c r="I262" s="34"/>
      <c r="J262" s="35"/>
    </row>
    <row r="263" customFormat="false" ht="15" hidden="false" customHeight="false" outlineLevel="0" collapsed="false">
      <c r="A263" s="32"/>
      <c r="B263" s="29"/>
      <c r="C263" s="29"/>
      <c r="D263" s="25"/>
      <c r="E263" s="25"/>
      <c r="F263" s="25"/>
      <c r="G263" s="33" t="str">
        <f aca="false">IF(OR(B263="",AND(A263=A262 ,B263=B262)),"",SUMIFS($D$5:$D$504,$A$5:$A$504,A263,$B$5:$B$504,B263)+SUMIFS($E$5:$E$504,$A$5:$A$504,A263,$B$5:$B$504,B263)-SUMIFS($F$5:$F$504,$A$5:$A$504,A263,$B$5:$B$504,B263))</f>
        <v/>
      </c>
      <c r="H263" s="33" t="str">
        <f aca="false">IF(OR(B263="",AND(A263=A262 ,B263=B262)),"",SUMIFS($F$5:$F$504,$A$5:$A$504,A263,$B$5:$B$504,B263))</f>
        <v/>
      </c>
      <c r="I263" s="34"/>
      <c r="J263" s="35"/>
    </row>
    <row r="264" customFormat="false" ht="15" hidden="false" customHeight="false" outlineLevel="0" collapsed="false">
      <c r="A264" s="32"/>
      <c r="B264" s="29"/>
      <c r="C264" s="29"/>
      <c r="D264" s="25"/>
      <c r="E264" s="25"/>
      <c r="F264" s="25"/>
      <c r="G264" s="33" t="str">
        <f aca="false">IF(OR(B264="",AND(A264=A263 ,B264=B263)),"",SUMIFS($D$5:$D$504,$A$5:$A$504,A264,$B$5:$B$504,B264)+SUMIFS($E$5:$E$504,$A$5:$A$504,A264,$B$5:$B$504,B264)-SUMIFS($F$5:$F$504,$A$5:$A$504,A264,$B$5:$B$504,B264))</f>
        <v/>
      </c>
      <c r="H264" s="33" t="str">
        <f aca="false">IF(OR(B264="",AND(A264=A263 ,B264=B263)),"",SUMIFS($F$5:$F$504,$A$5:$A$504,A264,$B$5:$B$504,B264))</f>
        <v/>
      </c>
      <c r="I264" s="34"/>
      <c r="J264" s="35"/>
    </row>
    <row r="265" customFormat="false" ht="15" hidden="false" customHeight="false" outlineLevel="0" collapsed="false">
      <c r="A265" s="32"/>
      <c r="B265" s="29"/>
      <c r="C265" s="29"/>
      <c r="D265" s="25"/>
      <c r="E265" s="25"/>
      <c r="F265" s="25"/>
      <c r="G265" s="33" t="str">
        <f aca="false">IF(OR(B265="",AND(A265=A264 ,B265=B264)),"",SUMIFS($D$5:$D$504,$A$5:$A$504,A265,$B$5:$B$504,B265)+SUMIFS($E$5:$E$504,$A$5:$A$504,A265,$B$5:$B$504,B265)-SUMIFS($F$5:$F$504,$A$5:$A$504,A265,$B$5:$B$504,B265))</f>
        <v/>
      </c>
      <c r="H265" s="33" t="str">
        <f aca="false">IF(OR(B265="",AND(A265=A264 ,B265=B264)),"",SUMIFS($F$5:$F$504,$A$5:$A$504,A265,$B$5:$B$504,B265))</f>
        <v/>
      </c>
      <c r="I265" s="34"/>
      <c r="J265" s="35"/>
    </row>
    <row r="266" customFormat="false" ht="15" hidden="false" customHeight="false" outlineLevel="0" collapsed="false">
      <c r="A266" s="32"/>
      <c r="B266" s="29"/>
      <c r="C266" s="29"/>
      <c r="D266" s="25"/>
      <c r="E266" s="25"/>
      <c r="F266" s="25"/>
      <c r="G266" s="33" t="str">
        <f aca="false">IF(OR(B266="",AND(A266=A265 ,B266=B265)),"",SUMIFS($D$5:$D$504,$A$5:$A$504,A266,$B$5:$B$504,B266)+SUMIFS($E$5:$E$504,$A$5:$A$504,A266,$B$5:$B$504,B266)-SUMIFS($F$5:$F$504,$A$5:$A$504,A266,$B$5:$B$504,B266))</f>
        <v/>
      </c>
      <c r="H266" s="33" t="str">
        <f aca="false">IF(OR(B266="",AND(A266=A265 ,B266=B265)),"",SUMIFS($F$5:$F$504,$A$5:$A$504,A266,$B$5:$B$504,B266))</f>
        <v/>
      </c>
      <c r="I266" s="34"/>
      <c r="J266" s="35"/>
    </row>
    <row r="267" customFormat="false" ht="15" hidden="false" customHeight="false" outlineLevel="0" collapsed="false">
      <c r="A267" s="32"/>
      <c r="B267" s="29"/>
      <c r="C267" s="29"/>
      <c r="D267" s="25"/>
      <c r="E267" s="25"/>
      <c r="F267" s="25"/>
      <c r="G267" s="33" t="str">
        <f aca="false">IF(OR(B267="",AND(A267=A266 ,B267=B266)),"",SUMIFS($D$5:$D$504,$A$5:$A$504,A267,$B$5:$B$504,B267)+SUMIFS($E$5:$E$504,$A$5:$A$504,A267,$B$5:$B$504,B267)-SUMIFS($F$5:$F$504,$A$5:$A$504,A267,$B$5:$B$504,B267))</f>
        <v/>
      </c>
      <c r="H267" s="33" t="str">
        <f aca="false">IF(OR(B267="",AND(A267=A266 ,B267=B266)),"",SUMIFS($F$5:$F$504,$A$5:$A$504,A267,$B$5:$B$504,B267))</f>
        <v/>
      </c>
      <c r="I267" s="34"/>
      <c r="J267" s="35"/>
    </row>
    <row r="268" customFormat="false" ht="15" hidden="false" customHeight="false" outlineLevel="0" collapsed="false">
      <c r="A268" s="32"/>
      <c r="B268" s="29"/>
      <c r="C268" s="29"/>
      <c r="D268" s="25"/>
      <c r="E268" s="25"/>
      <c r="F268" s="25"/>
      <c r="G268" s="33" t="str">
        <f aca="false">IF(OR(B268="",AND(A268=A267 ,B268=B267)),"",SUMIFS($D$5:$D$504,$A$5:$A$504,A268,$B$5:$B$504,B268)+SUMIFS($E$5:$E$504,$A$5:$A$504,A268,$B$5:$B$504,B268)-SUMIFS($F$5:$F$504,$A$5:$A$504,A268,$B$5:$B$504,B268))</f>
        <v/>
      </c>
      <c r="H268" s="33" t="str">
        <f aca="false">IF(OR(B268="",AND(A268=A267 ,B268=B267)),"",SUMIFS($F$5:$F$504,$A$5:$A$504,A268,$B$5:$B$504,B268))</f>
        <v/>
      </c>
      <c r="I268" s="34"/>
      <c r="J268" s="35"/>
    </row>
    <row r="269" customFormat="false" ht="15" hidden="false" customHeight="false" outlineLevel="0" collapsed="false">
      <c r="A269" s="32"/>
      <c r="B269" s="29"/>
      <c r="C269" s="29"/>
      <c r="D269" s="25"/>
      <c r="E269" s="25"/>
      <c r="F269" s="25"/>
      <c r="G269" s="33" t="str">
        <f aca="false">IF(OR(B269="",AND(A269=A268 ,B269=B268)),"",SUMIFS($D$5:$D$504,$A$5:$A$504,A269,$B$5:$B$504,B269)+SUMIFS($E$5:$E$504,$A$5:$A$504,A269,$B$5:$B$504,B269)-SUMIFS($F$5:$F$504,$A$5:$A$504,A269,$B$5:$B$504,B269))</f>
        <v/>
      </c>
      <c r="H269" s="33" t="str">
        <f aca="false">IF(OR(B269="",AND(A269=A268 ,B269=B268)),"",SUMIFS($F$5:$F$504,$A$5:$A$504,A269,$B$5:$B$504,B269))</f>
        <v/>
      </c>
      <c r="I269" s="34"/>
      <c r="J269" s="35"/>
    </row>
    <row r="270" customFormat="false" ht="15" hidden="false" customHeight="false" outlineLevel="0" collapsed="false">
      <c r="A270" s="32"/>
      <c r="B270" s="29"/>
      <c r="C270" s="29"/>
      <c r="D270" s="25"/>
      <c r="E270" s="25"/>
      <c r="F270" s="25"/>
      <c r="G270" s="33" t="str">
        <f aca="false">IF(OR(B270="",AND(A270=A269 ,B270=B269)),"",SUMIFS($D$5:$D$504,$A$5:$A$504,A270,$B$5:$B$504,B270)+SUMIFS($E$5:$E$504,$A$5:$A$504,A270,$B$5:$B$504,B270)-SUMIFS($F$5:$F$504,$A$5:$A$504,A270,$B$5:$B$504,B270))</f>
        <v/>
      </c>
      <c r="H270" s="33" t="str">
        <f aca="false">IF(OR(B270="",AND(A270=A269 ,B270=B269)),"",SUMIFS($F$5:$F$504,$A$5:$A$504,A270,$B$5:$B$504,B270))</f>
        <v/>
      </c>
      <c r="I270" s="34"/>
      <c r="J270" s="35"/>
    </row>
    <row r="271" customFormat="false" ht="15" hidden="false" customHeight="false" outlineLevel="0" collapsed="false">
      <c r="A271" s="32"/>
      <c r="B271" s="29"/>
      <c r="C271" s="29"/>
      <c r="D271" s="25"/>
      <c r="E271" s="25"/>
      <c r="F271" s="25"/>
      <c r="G271" s="33" t="str">
        <f aca="false">IF(OR(B271="",AND(A271=A270 ,B271=B270)),"",SUMIFS($D$5:$D$504,$A$5:$A$504,A271,$B$5:$B$504,B271)+SUMIFS($E$5:$E$504,$A$5:$A$504,A271,$B$5:$B$504,B271)-SUMIFS($F$5:$F$504,$A$5:$A$504,A271,$B$5:$B$504,B271))</f>
        <v/>
      </c>
      <c r="H271" s="33" t="str">
        <f aca="false">IF(OR(B271="",AND(A271=A270 ,B271=B270)),"",SUMIFS($F$5:$F$504,$A$5:$A$504,A271,$B$5:$B$504,B271))</f>
        <v/>
      </c>
      <c r="I271" s="34"/>
      <c r="J271" s="35"/>
    </row>
    <row r="272" customFormat="false" ht="15" hidden="false" customHeight="false" outlineLevel="0" collapsed="false">
      <c r="A272" s="32"/>
      <c r="B272" s="29"/>
      <c r="C272" s="29"/>
      <c r="D272" s="25"/>
      <c r="E272" s="25"/>
      <c r="F272" s="25"/>
      <c r="G272" s="33" t="str">
        <f aca="false">IF(OR(B272="",AND(A272=A271 ,B272=B271)),"",SUMIFS($D$5:$D$504,$A$5:$A$504,A272,$B$5:$B$504,B272)+SUMIFS($E$5:$E$504,$A$5:$A$504,A272,$B$5:$B$504,B272)-SUMIFS($F$5:$F$504,$A$5:$A$504,A272,$B$5:$B$504,B272))</f>
        <v/>
      </c>
      <c r="H272" s="33" t="str">
        <f aca="false">IF(OR(B272="",AND(A272=A271 ,B272=B271)),"",SUMIFS($F$5:$F$504,$A$5:$A$504,A272,$B$5:$B$504,B272))</f>
        <v/>
      </c>
      <c r="I272" s="34"/>
      <c r="J272" s="35"/>
    </row>
    <row r="273" customFormat="false" ht="15" hidden="false" customHeight="false" outlineLevel="0" collapsed="false">
      <c r="A273" s="32"/>
      <c r="B273" s="29"/>
      <c r="C273" s="29"/>
      <c r="D273" s="25"/>
      <c r="E273" s="25"/>
      <c r="F273" s="25"/>
      <c r="G273" s="33" t="str">
        <f aca="false">IF(OR(B273="",AND(A273=A272 ,B273=B272)),"",SUMIFS($D$5:$D$504,$A$5:$A$504,A273,$B$5:$B$504,B273)+SUMIFS($E$5:$E$504,$A$5:$A$504,A273,$B$5:$B$504,B273)-SUMIFS($F$5:$F$504,$A$5:$A$504,A273,$B$5:$B$504,B273))</f>
        <v/>
      </c>
      <c r="H273" s="33" t="str">
        <f aca="false">IF(OR(B273="",AND(A273=A272 ,B273=B272)),"",SUMIFS($F$5:$F$504,$A$5:$A$504,A273,$B$5:$B$504,B273))</f>
        <v/>
      </c>
      <c r="I273" s="34"/>
      <c r="J273" s="35"/>
    </row>
    <row r="274" customFormat="false" ht="15" hidden="false" customHeight="false" outlineLevel="0" collapsed="false">
      <c r="A274" s="32"/>
      <c r="B274" s="29"/>
      <c r="C274" s="29"/>
      <c r="D274" s="25"/>
      <c r="E274" s="25"/>
      <c r="F274" s="25"/>
      <c r="G274" s="33" t="str">
        <f aca="false">IF(OR(B274="",AND(A274=A273 ,B274=B273)),"",SUMIFS($D$5:$D$504,$A$5:$A$504,A274,$B$5:$B$504,B274)+SUMIFS($E$5:$E$504,$A$5:$A$504,A274,$B$5:$B$504,B274)-SUMIFS($F$5:$F$504,$A$5:$A$504,A274,$B$5:$B$504,B274))</f>
        <v/>
      </c>
      <c r="H274" s="33" t="str">
        <f aca="false">IF(OR(B274="",AND(A274=A273 ,B274=B273)),"",SUMIFS($F$5:$F$504,$A$5:$A$504,A274,$B$5:$B$504,B274))</f>
        <v/>
      </c>
      <c r="I274" s="34"/>
      <c r="J274" s="35"/>
    </row>
    <row r="275" customFormat="false" ht="15" hidden="false" customHeight="false" outlineLevel="0" collapsed="false">
      <c r="A275" s="32"/>
      <c r="B275" s="29"/>
      <c r="C275" s="29"/>
      <c r="D275" s="25"/>
      <c r="E275" s="25"/>
      <c r="F275" s="25"/>
      <c r="G275" s="33" t="str">
        <f aca="false">IF(OR(B275="",AND(A275=A274 ,B275=B274)),"",SUMIFS($D$5:$D$504,$A$5:$A$504,A275,$B$5:$B$504,B275)+SUMIFS($E$5:$E$504,$A$5:$A$504,A275,$B$5:$B$504,B275)-SUMIFS($F$5:$F$504,$A$5:$A$504,A275,$B$5:$B$504,B275))</f>
        <v/>
      </c>
      <c r="H275" s="33" t="str">
        <f aca="false">IF(OR(B275="",AND(A275=A274 ,B275=B274)),"",SUMIFS($F$5:$F$504,$A$5:$A$504,A275,$B$5:$B$504,B275))</f>
        <v/>
      </c>
      <c r="I275" s="34"/>
      <c r="J275" s="35"/>
    </row>
    <row r="276" customFormat="false" ht="15" hidden="false" customHeight="false" outlineLevel="0" collapsed="false">
      <c r="A276" s="32"/>
      <c r="B276" s="29"/>
      <c r="C276" s="29"/>
      <c r="D276" s="25"/>
      <c r="E276" s="25"/>
      <c r="F276" s="25"/>
      <c r="G276" s="33" t="str">
        <f aca="false">IF(OR(B276="",AND(A276=A275 ,B276=B275)),"",SUMIFS($D$5:$D$504,$A$5:$A$504,A276,$B$5:$B$504,B276)+SUMIFS($E$5:$E$504,$A$5:$A$504,A276,$B$5:$B$504,B276)-SUMIFS($F$5:$F$504,$A$5:$A$504,A276,$B$5:$B$504,B276))</f>
        <v/>
      </c>
      <c r="H276" s="33" t="str">
        <f aca="false">IF(OR(B276="",AND(A276=A275 ,B276=B275)),"",SUMIFS($F$5:$F$504,$A$5:$A$504,A276,$B$5:$B$504,B276))</f>
        <v/>
      </c>
      <c r="I276" s="34"/>
      <c r="J276" s="35"/>
    </row>
    <row r="277" customFormat="false" ht="15" hidden="false" customHeight="false" outlineLevel="0" collapsed="false">
      <c r="A277" s="32"/>
      <c r="B277" s="29"/>
      <c r="C277" s="29"/>
      <c r="D277" s="25"/>
      <c r="E277" s="25"/>
      <c r="F277" s="25"/>
      <c r="G277" s="33" t="str">
        <f aca="false">IF(OR(B277="",AND(A277=A276 ,B277=B276)),"",SUMIFS($D$5:$D$504,$A$5:$A$504,A277,$B$5:$B$504,B277)+SUMIFS($E$5:$E$504,$A$5:$A$504,A277,$B$5:$B$504,B277)-SUMIFS($F$5:$F$504,$A$5:$A$504,A277,$B$5:$B$504,B277))</f>
        <v/>
      </c>
      <c r="H277" s="33" t="str">
        <f aca="false">IF(OR(B277="",AND(A277=A276 ,B277=B276)),"",SUMIFS($F$5:$F$504,$A$5:$A$504,A277,$B$5:$B$504,B277))</f>
        <v/>
      </c>
      <c r="I277" s="34"/>
      <c r="J277" s="35"/>
    </row>
    <row r="278" customFormat="false" ht="15" hidden="false" customHeight="false" outlineLevel="0" collapsed="false">
      <c r="A278" s="32"/>
      <c r="B278" s="29"/>
      <c r="C278" s="29"/>
      <c r="D278" s="25"/>
      <c r="E278" s="25"/>
      <c r="F278" s="25"/>
      <c r="G278" s="33" t="str">
        <f aca="false">IF(OR(B278="",AND(A278=A277 ,B278=B277)),"",SUMIFS($D$5:$D$504,$A$5:$A$504,A278,$B$5:$B$504,B278)+SUMIFS($E$5:$E$504,$A$5:$A$504,A278,$B$5:$B$504,B278)-SUMIFS($F$5:$F$504,$A$5:$A$504,A278,$B$5:$B$504,B278))</f>
        <v/>
      </c>
      <c r="H278" s="33" t="str">
        <f aca="false">IF(OR(B278="",AND(A278=A277 ,B278=B277)),"",SUMIFS($F$5:$F$504,$A$5:$A$504,A278,$B$5:$B$504,B278))</f>
        <v/>
      </c>
      <c r="I278" s="34"/>
      <c r="J278" s="35"/>
    </row>
    <row r="279" customFormat="false" ht="15" hidden="false" customHeight="false" outlineLevel="0" collapsed="false">
      <c r="A279" s="32"/>
      <c r="B279" s="29"/>
      <c r="C279" s="29"/>
      <c r="D279" s="25"/>
      <c r="E279" s="25"/>
      <c r="F279" s="25"/>
      <c r="G279" s="33" t="str">
        <f aca="false">IF(OR(B279="",AND(A279=A278 ,B279=B278)),"",SUMIFS($D$5:$D$504,$A$5:$A$504,A279,$B$5:$B$504,B279)+SUMIFS($E$5:$E$504,$A$5:$A$504,A279,$B$5:$B$504,B279)-SUMIFS($F$5:$F$504,$A$5:$A$504,A279,$B$5:$B$504,B279))</f>
        <v/>
      </c>
      <c r="H279" s="33" t="str">
        <f aca="false">IF(OR(B279="",AND(A279=A278 ,B279=B278)),"",SUMIFS($F$5:$F$504,$A$5:$A$504,A279,$B$5:$B$504,B279))</f>
        <v/>
      </c>
      <c r="I279" s="34"/>
      <c r="J279" s="35"/>
    </row>
    <row r="280" customFormat="false" ht="15" hidden="false" customHeight="false" outlineLevel="0" collapsed="false">
      <c r="A280" s="32"/>
      <c r="B280" s="29"/>
      <c r="C280" s="29"/>
      <c r="D280" s="25"/>
      <c r="E280" s="25"/>
      <c r="F280" s="25"/>
      <c r="G280" s="33" t="str">
        <f aca="false">IF(OR(B280="",AND(A280=A279 ,B280=B279)),"",SUMIFS($D$5:$D$504,$A$5:$A$504,A280,$B$5:$B$504,B280)+SUMIFS($E$5:$E$504,$A$5:$A$504,A280,$B$5:$B$504,B280)-SUMIFS($F$5:$F$504,$A$5:$A$504,A280,$B$5:$B$504,B280))</f>
        <v/>
      </c>
      <c r="H280" s="33" t="str">
        <f aca="false">IF(OR(B280="",AND(A280=A279 ,B280=B279)),"",SUMIFS($F$5:$F$504,$A$5:$A$504,A280,$B$5:$B$504,B280))</f>
        <v/>
      </c>
      <c r="I280" s="34"/>
      <c r="J280" s="35"/>
    </row>
    <row r="281" customFormat="false" ht="15" hidden="false" customHeight="false" outlineLevel="0" collapsed="false">
      <c r="A281" s="32"/>
      <c r="B281" s="29"/>
      <c r="C281" s="29"/>
      <c r="D281" s="25"/>
      <c r="E281" s="25"/>
      <c r="F281" s="25"/>
      <c r="G281" s="33" t="str">
        <f aca="false">IF(OR(B281="",AND(A281=A280 ,B281=B280)),"",SUMIFS($D$5:$D$504,$A$5:$A$504,A281,$B$5:$B$504,B281)+SUMIFS($E$5:$E$504,$A$5:$A$504,A281,$B$5:$B$504,B281)-SUMIFS($F$5:$F$504,$A$5:$A$504,A281,$B$5:$B$504,B281))</f>
        <v/>
      </c>
      <c r="H281" s="33" t="str">
        <f aca="false">IF(OR(B281="",AND(A281=A280 ,B281=B280)),"",SUMIFS($F$5:$F$504,$A$5:$A$504,A281,$B$5:$B$504,B281))</f>
        <v/>
      </c>
      <c r="I281" s="34"/>
      <c r="J281" s="35"/>
    </row>
    <row r="282" customFormat="false" ht="15" hidden="false" customHeight="false" outlineLevel="0" collapsed="false">
      <c r="A282" s="32"/>
      <c r="B282" s="29"/>
      <c r="C282" s="29"/>
      <c r="D282" s="25"/>
      <c r="E282" s="25"/>
      <c r="F282" s="25"/>
      <c r="G282" s="33" t="str">
        <f aca="false">IF(OR(B282="",AND(A282=A281 ,B282=B281)),"",SUMIFS($D$5:$D$504,$A$5:$A$504,A282,$B$5:$B$504,B282)+SUMIFS($E$5:$E$504,$A$5:$A$504,A282,$B$5:$B$504,B282)-SUMIFS($F$5:$F$504,$A$5:$A$504,A282,$B$5:$B$504,B282))</f>
        <v/>
      </c>
      <c r="H282" s="33" t="str">
        <f aca="false">IF(OR(B282="",AND(A282=A281 ,B282=B281)),"",SUMIFS($F$5:$F$504,$A$5:$A$504,A282,$B$5:$B$504,B282))</f>
        <v/>
      </c>
      <c r="I282" s="34"/>
      <c r="J282" s="35"/>
    </row>
    <row r="283" customFormat="false" ht="15" hidden="false" customHeight="false" outlineLevel="0" collapsed="false">
      <c r="A283" s="32"/>
      <c r="B283" s="29"/>
      <c r="C283" s="29"/>
      <c r="D283" s="25"/>
      <c r="E283" s="25"/>
      <c r="F283" s="25"/>
      <c r="G283" s="33" t="str">
        <f aca="false">IF(OR(B283="",AND(A283=A282 ,B283=B282)),"",SUMIFS($D$5:$D$504,$A$5:$A$504,A283,$B$5:$B$504,B283)+SUMIFS($E$5:$E$504,$A$5:$A$504,A283,$B$5:$B$504,B283)-SUMIFS($F$5:$F$504,$A$5:$A$504,A283,$B$5:$B$504,B283))</f>
        <v/>
      </c>
      <c r="H283" s="33" t="str">
        <f aca="false">IF(OR(B283="",AND(A283=A282 ,B283=B282)),"",SUMIFS($F$5:$F$504,$A$5:$A$504,A283,$B$5:$B$504,B283))</f>
        <v/>
      </c>
      <c r="I283" s="34"/>
      <c r="J283" s="35"/>
    </row>
    <row r="284" customFormat="false" ht="15" hidden="false" customHeight="false" outlineLevel="0" collapsed="false">
      <c r="A284" s="32"/>
      <c r="B284" s="29"/>
      <c r="C284" s="29"/>
      <c r="D284" s="25"/>
      <c r="E284" s="25"/>
      <c r="F284" s="25"/>
      <c r="G284" s="33" t="str">
        <f aca="false">IF(OR(B284="",AND(A284=A283 ,B284=B283)),"",SUMIFS($D$5:$D$504,$A$5:$A$504,A284,$B$5:$B$504,B284)+SUMIFS($E$5:$E$504,$A$5:$A$504,A284,$B$5:$B$504,B284)-SUMIFS($F$5:$F$504,$A$5:$A$504,A284,$B$5:$B$504,B284))</f>
        <v/>
      </c>
      <c r="H284" s="33" t="str">
        <f aca="false">IF(OR(B284="",AND(A284=A283 ,B284=B283)),"",SUMIFS($F$5:$F$504,$A$5:$A$504,A284,$B$5:$B$504,B284))</f>
        <v/>
      </c>
      <c r="I284" s="34"/>
      <c r="J284" s="35"/>
    </row>
    <row r="285" customFormat="false" ht="15" hidden="false" customHeight="false" outlineLevel="0" collapsed="false">
      <c r="A285" s="32"/>
      <c r="B285" s="29"/>
      <c r="C285" s="29"/>
      <c r="D285" s="25"/>
      <c r="E285" s="25"/>
      <c r="F285" s="25"/>
      <c r="G285" s="33" t="str">
        <f aca="false">IF(OR(B285="",AND(A285=A284 ,B285=B284)),"",SUMIFS($D$5:$D$504,$A$5:$A$504,A285,$B$5:$B$504,B285)+SUMIFS($E$5:$E$504,$A$5:$A$504,A285,$B$5:$B$504,B285)-SUMIFS($F$5:$F$504,$A$5:$A$504,A285,$B$5:$B$504,B285))</f>
        <v/>
      </c>
      <c r="H285" s="33" t="str">
        <f aca="false">IF(OR(B285="",AND(A285=A284 ,B285=B284)),"",SUMIFS($F$5:$F$504,$A$5:$A$504,A285,$B$5:$B$504,B285))</f>
        <v/>
      </c>
      <c r="I285" s="34"/>
      <c r="J285" s="35"/>
    </row>
    <row r="286" customFormat="false" ht="15" hidden="false" customHeight="false" outlineLevel="0" collapsed="false">
      <c r="A286" s="32"/>
      <c r="B286" s="29"/>
      <c r="C286" s="29"/>
      <c r="D286" s="25"/>
      <c r="E286" s="25"/>
      <c r="F286" s="25"/>
      <c r="G286" s="33" t="str">
        <f aca="false">IF(OR(B286="",AND(A286=A285 ,B286=B285)),"",SUMIFS($D$5:$D$504,$A$5:$A$504,A286,$B$5:$B$504,B286)+SUMIFS($E$5:$E$504,$A$5:$A$504,A286,$B$5:$B$504,B286)-SUMIFS($F$5:$F$504,$A$5:$A$504,A286,$B$5:$B$504,B286))</f>
        <v/>
      </c>
      <c r="H286" s="33" t="str">
        <f aca="false">IF(OR(B286="",AND(A286=A285 ,B286=B285)),"",SUMIFS($F$5:$F$504,$A$5:$A$504,A286,$B$5:$B$504,B286))</f>
        <v/>
      </c>
      <c r="I286" s="34"/>
      <c r="J286" s="35"/>
    </row>
    <row r="287" customFormat="false" ht="15" hidden="false" customHeight="false" outlineLevel="0" collapsed="false">
      <c r="A287" s="32"/>
      <c r="B287" s="29"/>
      <c r="C287" s="29"/>
      <c r="D287" s="25"/>
      <c r="E287" s="25"/>
      <c r="F287" s="25"/>
      <c r="G287" s="33" t="str">
        <f aca="false">IF(OR(B287="",AND(A287=A286 ,B287=B286)),"",SUMIFS($D$5:$D$504,$A$5:$A$504,A287,$B$5:$B$504,B287)+SUMIFS($E$5:$E$504,$A$5:$A$504,A287,$B$5:$B$504,B287)-SUMIFS($F$5:$F$504,$A$5:$A$504,A287,$B$5:$B$504,B287))</f>
        <v/>
      </c>
      <c r="H287" s="33" t="str">
        <f aca="false">IF(OR(B287="",AND(A287=A286 ,B287=B286)),"",SUMIFS($F$5:$F$504,$A$5:$A$504,A287,$B$5:$B$504,B287))</f>
        <v/>
      </c>
      <c r="I287" s="34"/>
      <c r="J287" s="35"/>
    </row>
    <row r="288" customFormat="false" ht="15" hidden="false" customHeight="false" outlineLevel="0" collapsed="false">
      <c r="A288" s="32"/>
      <c r="B288" s="29"/>
      <c r="C288" s="29"/>
      <c r="D288" s="25"/>
      <c r="E288" s="25"/>
      <c r="F288" s="25"/>
      <c r="G288" s="33" t="str">
        <f aca="false">IF(OR(B288="",AND(A288=A287 ,B288=B287)),"",SUMIFS($D$5:$D$504,$A$5:$A$504,A288,$B$5:$B$504,B288)+SUMIFS($E$5:$E$504,$A$5:$A$504,A288,$B$5:$B$504,B288)-SUMIFS($F$5:$F$504,$A$5:$A$504,A288,$B$5:$B$504,B288))</f>
        <v/>
      </c>
      <c r="H288" s="33" t="str">
        <f aca="false">IF(OR(B288="",AND(A288=A287 ,B288=B287)),"",SUMIFS($F$5:$F$504,$A$5:$A$504,A288,$B$5:$B$504,B288))</f>
        <v/>
      </c>
      <c r="I288" s="34"/>
      <c r="J288" s="35"/>
    </row>
    <row r="289" customFormat="false" ht="15" hidden="false" customHeight="false" outlineLevel="0" collapsed="false">
      <c r="A289" s="32"/>
      <c r="B289" s="29"/>
      <c r="C289" s="29"/>
      <c r="D289" s="25"/>
      <c r="E289" s="25"/>
      <c r="F289" s="25"/>
      <c r="G289" s="33" t="str">
        <f aca="false">IF(OR(B289="",AND(A289=A288 ,B289=B288)),"",SUMIFS($D$5:$D$504,$A$5:$A$504,A289,$B$5:$B$504,B289)+SUMIFS($E$5:$E$504,$A$5:$A$504,A289,$B$5:$B$504,B289)-SUMIFS($F$5:$F$504,$A$5:$A$504,A289,$B$5:$B$504,B289))</f>
        <v/>
      </c>
      <c r="H289" s="33" t="str">
        <f aca="false">IF(OR(B289="",AND(A289=A288 ,B289=B288)),"",SUMIFS($F$5:$F$504,$A$5:$A$504,A289,$B$5:$B$504,B289))</f>
        <v/>
      </c>
      <c r="I289" s="34"/>
      <c r="J289" s="35"/>
    </row>
    <row r="290" customFormat="false" ht="15" hidden="false" customHeight="false" outlineLevel="0" collapsed="false">
      <c r="A290" s="32"/>
      <c r="B290" s="29"/>
      <c r="C290" s="29"/>
      <c r="D290" s="25"/>
      <c r="E290" s="25"/>
      <c r="F290" s="25"/>
      <c r="G290" s="33" t="str">
        <f aca="false">IF(OR(B290="",AND(A290=A289 ,B290=B289)),"",SUMIFS($D$5:$D$504,$A$5:$A$504,A290,$B$5:$B$504,B290)+SUMIFS($E$5:$E$504,$A$5:$A$504,A290,$B$5:$B$504,B290)-SUMIFS($F$5:$F$504,$A$5:$A$504,A290,$B$5:$B$504,B290))</f>
        <v/>
      </c>
      <c r="H290" s="33" t="str">
        <f aca="false">IF(OR(B290="",AND(A290=A289 ,B290=B289)),"",SUMIFS($F$5:$F$504,$A$5:$A$504,A290,$B$5:$B$504,B290))</f>
        <v/>
      </c>
      <c r="I290" s="34"/>
      <c r="J290" s="35"/>
    </row>
    <row r="291" customFormat="false" ht="15" hidden="false" customHeight="false" outlineLevel="0" collapsed="false">
      <c r="A291" s="32"/>
      <c r="B291" s="29"/>
      <c r="C291" s="29"/>
      <c r="D291" s="25"/>
      <c r="E291" s="25"/>
      <c r="F291" s="25"/>
      <c r="G291" s="33" t="str">
        <f aca="false">IF(OR(B291="",AND(A291=A290 ,B291=B290)),"",SUMIFS($D$5:$D$504,$A$5:$A$504,A291,$B$5:$B$504,B291)+SUMIFS($E$5:$E$504,$A$5:$A$504,A291,$B$5:$B$504,B291)-SUMIFS($F$5:$F$504,$A$5:$A$504,A291,$B$5:$B$504,B291))</f>
        <v/>
      </c>
      <c r="H291" s="33" t="str">
        <f aca="false">IF(OR(B291="",AND(A291=A290 ,B291=B290)),"",SUMIFS($F$5:$F$504,$A$5:$A$504,A291,$B$5:$B$504,B291))</f>
        <v/>
      </c>
      <c r="I291" s="34"/>
      <c r="J291" s="35"/>
    </row>
    <row r="292" customFormat="false" ht="15" hidden="false" customHeight="false" outlineLevel="0" collapsed="false">
      <c r="A292" s="32"/>
      <c r="B292" s="29"/>
      <c r="C292" s="29"/>
      <c r="D292" s="25"/>
      <c r="E292" s="25"/>
      <c r="F292" s="25"/>
      <c r="G292" s="33" t="str">
        <f aca="false">IF(OR(B292="",AND(A292=A291 ,B292=B291)),"",SUMIFS($D$5:$D$504,$A$5:$A$504,A292,$B$5:$B$504,B292)+SUMIFS($E$5:$E$504,$A$5:$A$504,A292,$B$5:$B$504,B292)-SUMIFS($F$5:$F$504,$A$5:$A$504,A292,$B$5:$B$504,B292))</f>
        <v/>
      </c>
      <c r="H292" s="33" t="str">
        <f aca="false">IF(OR(B292="",AND(A292=A291 ,B292=B291)),"",SUMIFS($F$5:$F$504,$A$5:$A$504,A292,$B$5:$B$504,B292))</f>
        <v/>
      </c>
      <c r="I292" s="34"/>
      <c r="J292" s="35"/>
    </row>
    <row r="293" customFormat="false" ht="15" hidden="false" customHeight="false" outlineLevel="0" collapsed="false">
      <c r="A293" s="32"/>
      <c r="B293" s="29"/>
      <c r="C293" s="29"/>
      <c r="D293" s="25"/>
      <c r="E293" s="25"/>
      <c r="F293" s="25"/>
      <c r="G293" s="33" t="str">
        <f aca="false">IF(OR(B293="",AND(A293=A292 ,B293=B292)),"",SUMIFS($D$5:$D$504,$A$5:$A$504,A293,$B$5:$B$504,B293)+SUMIFS($E$5:$E$504,$A$5:$A$504,A293,$B$5:$B$504,B293)-SUMIFS($F$5:$F$504,$A$5:$A$504,A293,$B$5:$B$504,B293))</f>
        <v/>
      </c>
      <c r="H293" s="33" t="str">
        <f aca="false">IF(OR(B293="",AND(A293=A292 ,B293=B292)),"",SUMIFS($F$5:$F$504,$A$5:$A$504,A293,$B$5:$B$504,B293))</f>
        <v/>
      </c>
      <c r="I293" s="34"/>
      <c r="J293" s="35"/>
    </row>
    <row r="294" customFormat="false" ht="15" hidden="false" customHeight="false" outlineLevel="0" collapsed="false">
      <c r="A294" s="32"/>
      <c r="B294" s="29"/>
      <c r="C294" s="29"/>
      <c r="D294" s="25"/>
      <c r="E294" s="25"/>
      <c r="F294" s="25"/>
      <c r="G294" s="33" t="str">
        <f aca="false">IF(OR(B294="",AND(A294=A293 ,B294=B293)),"",SUMIFS($D$5:$D$504,$A$5:$A$504,A294,$B$5:$B$504,B294)+SUMIFS($E$5:$E$504,$A$5:$A$504,A294,$B$5:$B$504,B294)-SUMIFS($F$5:$F$504,$A$5:$A$504,A294,$B$5:$B$504,B294))</f>
        <v/>
      </c>
      <c r="H294" s="33" t="str">
        <f aca="false">IF(OR(B294="",AND(A294=A293 ,B294=B293)),"",SUMIFS($F$5:$F$504,$A$5:$A$504,A294,$B$5:$B$504,B294))</f>
        <v/>
      </c>
      <c r="I294" s="34"/>
      <c r="J294" s="35"/>
    </row>
    <row r="295" customFormat="false" ht="15" hidden="false" customHeight="false" outlineLevel="0" collapsed="false">
      <c r="A295" s="32"/>
      <c r="B295" s="29"/>
      <c r="C295" s="29"/>
      <c r="D295" s="25"/>
      <c r="E295" s="25"/>
      <c r="F295" s="25"/>
      <c r="G295" s="33" t="str">
        <f aca="false">IF(OR(B295="",AND(A295=A294 ,B295=B294)),"",SUMIFS($D$5:$D$504,$A$5:$A$504,A295,$B$5:$B$504,B295)+SUMIFS($E$5:$E$504,$A$5:$A$504,A295,$B$5:$B$504,B295)-SUMIFS($F$5:$F$504,$A$5:$A$504,A295,$B$5:$B$504,B295))</f>
        <v/>
      </c>
      <c r="H295" s="33" t="str">
        <f aca="false">IF(OR(B295="",AND(A295=A294 ,B295=B294)),"",SUMIFS($F$5:$F$504,$A$5:$A$504,A295,$B$5:$B$504,B295))</f>
        <v/>
      </c>
      <c r="I295" s="34"/>
      <c r="J295" s="35"/>
    </row>
    <row r="296" customFormat="false" ht="15" hidden="false" customHeight="false" outlineLevel="0" collapsed="false">
      <c r="A296" s="32"/>
      <c r="B296" s="29"/>
      <c r="C296" s="29"/>
      <c r="D296" s="25"/>
      <c r="E296" s="25"/>
      <c r="F296" s="25"/>
      <c r="G296" s="33" t="str">
        <f aca="false">IF(OR(B296="",AND(A296=A295 ,B296=B295)),"",SUMIFS($D$5:$D$504,$A$5:$A$504,A296,$B$5:$B$504,B296)+SUMIFS($E$5:$E$504,$A$5:$A$504,A296,$B$5:$B$504,B296)-SUMIFS($F$5:$F$504,$A$5:$A$504,A296,$B$5:$B$504,B296))</f>
        <v/>
      </c>
      <c r="H296" s="33" t="str">
        <f aca="false">IF(OR(B296="",AND(A296=A295 ,B296=B295)),"",SUMIFS($F$5:$F$504,$A$5:$A$504,A296,$B$5:$B$504,B296))</f>
        <v/>
      </c>
      <c r="I296" s="34"/>
      <c r="J296" s="35"/>
    </row>
    <row r="297" customFormat="false" ht="15" hidden="false" customHeight="false" outlineLevel="0" collapsed="false">
      <c r="A297" s="32"/>
      <c r="B297" s="29"/>
      <c r="C297" s="29"/>
      <c r="D297" s="25"/>
      <c r="E297" s="25"/>
      <c r="F297" s="25"/>
      <c r="G297" s="33" t="str">
        <f aca="false">IF(OR(B297="",AND(A297=A296 ,B297=B296)),"",SUMIFS($D$5:$D$504,$A$5:$A$504,A297,$B$5:$B$504,B297)+SUMIFS($E$5:$E$504,$A$5:$A$504,A297,$B$5:$B$504,B297)-SUMIFS($F$5:$F$504,$A$5:$A$504,A297,$B$5:$B$504,B297))</f>
        <v/>
      </c>
      <c r="H297" s="33" t="str">
        <f aca="false">IF(OR(B297="",AND(A297=A296 ,B297=B296)),"",SUMIFS($F$5:$F$504,$A$5:$A$504,A297,$B$5:$B$504,B297))</f>
        <v/>
      </c>
      <c r="I297" s="34"/>
      <c r="J297" s="35"/>
    </row>
    <row r="298" customFormat="false" ht="15" hidden="false" customHeight="false" outlineLevel="0" collapsed="false">
      <c r="A298" s="32"/>
      <c r="B298" s="29"/>
      <c r="C298" s="29"/>
      <c r="D298" s="25"/>
      <c r="E298" s="25"/>
      <c r="F298" s="25"/>
      <c r="G298" s="33" t="str">
        <f aca="false">IF(OR(B298="",AND(A298=A297 ,B298=B297)),"",SUMIFS($D$5:$D$504,$A$5:$A$504,A298,$B$5:$B$504,B298)+SUMIFS($E$5:$E$504,$A$5:$A$504,A298,$B$5:$B$504,B298)-SUMIFS($F$5:$F$504,$A$5:$A$504,A298,$B$5:$B$504,B298))</f>
        <v/>
      </c>
      <c r="H298" s="33" t="str">
        <f aca="false">IF(OR(B298="",AND(A298=A297 ,B298=B297)),"",SUMIFS($F$5:$F$504,$A$5:$A$504,A298,$B$5:$B$504,B298))</f>
        <v/>
      </c>
      <c r="I298" s="34"/>
      <c r="J298" s="35"/>
    </row>
    <row r="299" customFormat="false" ht="15" hidden="false" customHeight="false" outlineLevel="0" collapsed="false">
      <c r="A299" s="32"/>
      <c r="B299" s="29"/>
      <c r="C299" s="29"/>
      <c r="D299" s="25"/>
      <c r="E299" s="25"/>
      <c r="F299" s="25"/>
      <c r="G299" s="33" t="str">
        <f aca="false">IF(OR(B299="",AND(A299=A298 ,B299=B298)),"",SUMIFS($D$5:$D$504,$A$5:$A$504,A299,$B$5:$B$504,B299)+SUMIFS($E$5:$E$504,$A$5:$A$504,A299,$B$5:$B$504,B299)-SUMIFS($F$5:$F$504,$A$5:$A$504,A299,$B$5:$B$504,B299))</f>
        <v/>
      </c>
      <c r="H299" s="33" t="str">
        <f aca="false">IF(OR(B299="",AND(A299=A298 ,B299=B298)),"",SUMIFS($F$5:$F$504,$A$5:$A$504,A299,$B$5:$B$504,B299))</f>
        <v/>
      </c>
      <c r="I299" s="34"/>
      <c r="J299" s="35"/>
    </row>
    <row r="300" customFormat="false" ht="15" hidden="false" customHeight="false" outlineLevel="0" collapsed="false">
      <c r="A300" s="32"/>
      <c r="B300" s="29"/>
      <c r="C300" s="29"/>
      <c r="D300" s="25"/>
      <c r="E300" s="25"/>
      <c r="F300" s="25"/>
      <c r="G300" s="33" t="str">
        <f aca="false">IF(OR(B300="",AND(A300=A299 ,B300=B299)),"",SUMIFS($D$5:$D$504,$A$5:$A$504,A300,$B$5:$B$504,B300)+SUMIFS($E$5:$E$504,$A$5:$A$504,A300,$B$5:$B$504,B300)-SUMIFS($F$5:$F$504,$A$5:$A$504,A300,$B$5:$B$504,B300))</f>
        <v/>
      </c>
      <c r="H300" s="33" t="str">
        <f aca="false">IF(OR(B300="",AND(A300=A299 ,B300=B299)),"",SUMIFS($F$5:$F$504,$A$5:$A$504,A300,$B$5:$B$504,B300))</f>
        <v/>
      </c>
      <c r="I300" s="34"/>
      <c r="J300" s="35"/>
    </row>
    <row r="301" customFormat="false" ht="15" hidden="false" customHeight="false" outlineLevel="0" collapsed="false">
      <c r="A301" s="32"/>
      <c r="B301" s="29"/>
      <c r="C301" s="29"/>
      <c r="D301" s="25"/>
      <c r="E301" s="25"/>
      <c r="F301" s="25"/>
      <c r="G301" s="33" t="str">
        <f aca="false">IF(OR(B301="",AND(A301=A300 ,B301=B300)),"",SUMIFS($D$5:$D$504,$A$5:$A$504,A301,$B$5:$B$504,B301)+SUMIFS($E$5:$E$504,$A$5:$A$504,A301,$B$5:$B$504,B301)-SUMIFS($F$5:$F$504,$A$5:$A$504,A301,$B$5:$B$504,B301))</f>
        <v/>
      </c>
      <c r="H301" s="33" t="str">
        <f aca="false">IF(OR(B301="",AND(A301=A300 ,B301=B300)),"",SUMIFS($F$5:$F$504,$A$5:$A$504,A301,$B$5:$B$504,B301))</f>
        <v/>
      </c>
      <c r="I301" s="34"/>
      <c r="J301" s="35"/>
    </row>
    <row r="302" customFormat="false" ht="15" hidden="false" customHeight="false" outlineLevel="0" collapsed="false">
      <c r="A302" s="32"/>
      <c r="B302" s="29"/>
      <c r="C302" s="29"/>
      <c r="D302" s="25"/>
      <c r="E302" s="25"/>
      <c r="F302" s="25"/>
      <c r="G302" s="33" t="str">
        <f aca="false">IF(OR(B302="",AND(A302=A301 ,B302=B301)),"",SUMIFS($D$5:$D$504,$A$5:$A$504,A302,$B$5:$B$504,B302)+SUMIFS($E$5:$E$504,$A$5:$A$504,A302,$B$5:$B$504,B302)-SUMIFS($F$5:$F$504,$A$5:$A$504,A302,$B$5:$B$504,B302))</f>
        <v/>
      </c>
      <c r="H302" s="33" t="str">
        <f aca="false">IF(OR(B302="",AND(A302=A301 ,B302=B301)),"",SUMIFS($F$5:$F$504,$A$5:$A$504,A302,$B$5:$B$504,B302))</f>
        <v/>
      </c>
      <c r="I302" s="34"/>
      <c r="J302" s="35"/>
    </row>
    <row r="303" customFormat="false" ht="15" hidden="false" customHeight="false" outlineLevel="0" collapsed="false">
      <c r="A303" s="32"/>
      <c r="B303" s="29"/>
      <c r="C303" s="29"/>
      <c r="D303" s="25"/>
      <c r="E303" s="25"/>
      <c r="F303" s="25"/>
      <c r="G303" s="33" t="str">
        <f aca="false">IF(OR(B303="",AND(A303=A302 ,B303=B302)),"",SUMIFS($D$5:$D$504,$A$5:$A$504,A303,$B$5:$B$504,B303)+SUMIFS($E$5:$E$504,$A$5:$A$504,A303,$B$5:$B$504,B303)-SUMIFS($F$5:$F$504,$A$5:$A$504,A303,$B$5:$B$504,B303))</f>
        <v/>
      </c>
      <c r="H303" s="33" t="str">
        <f aca="false">IF(OR(B303="",AND(A303=A302 ,B303=B302)),"",SUMIFS($F$5:$F$504,$A$5:$A$504,A303,$B$5:$B$504,B303))</f>
        <v/>
      </c>
      <c r="I303" s="34"/>
      <c r="J303" s="35"/>
    </row>
    <row r="304" customFormat="false" ht="15" hidden="false" customHeight="false" outlineLevel="0" collapsed="false">
      <c r="A304" s="32"/>
      <c r="B304" s="29"/>
      <c r="C304" s="29"/>
      <c r="D304" s="25"/>
      <c r="E304" s="25"/>
      <c r="F304" s="25"/>
      <c r="G304" s="33" t="str">
        <f aca="false">IF(OR(B304="",AND(A304=A303 ,B304=B303)),"",SUMIFS($D$5:$D$504,$A$5:$A$504,A304,$B$5:$B$504,B304)+SUMIFS($E$5:$E$504,$A$5:$A$504,A304,$B$5:$B$504,B304)-SUMIFS($F$5:$F$504,$A$5:$A$504,A304,$B$5:$B$504,B304))</f>
        <v/>
      </c>
      <c r="H304" s="33" t="str">
        <f aca="false">IF(OR(B304="",AND(A304=A303 ,B304=B303)),"",SUMIFS($F$5:$F$504,$A$5:$A$504,A304,$B$5:$B$504,B304))</f>
        <v/>
      </c>
      <c r="I304" s="34"/>
      <c r="J304" s="35"/>
    </row>
    <row r="305" customFormat="false" ht="15" hidden="false" customHeight="false" outlineLevel="0" collapsed="false">
      <c r="A305" s="32"/>
      <c r="B305" s="29"/>
      <c r="C305" s="29"/>
      <c r="D305" s="25"/>
      <c r="E305" s="25"/>
      <c r="F305" s="25"/>
      <c r="G305" s="33" t="str">
        <f aca="false">IF(OR(B305="",AND(A305=A304 ,B305=B304)),"",SUMIFS($D$5:$D$504,$A$5:$A$504,A305,$B$5:$B$504,B305)+SUMIFS($E$5:$E$504,$A$5:$A$504,A305,$B$5:$B$504,B305)-SUMIFS($F$5:$F$504,$A$5:$A$504,A305,$B$5:$B$504,B305))</f>
        <v/>
      </c>
      <c r="H305" s="33" t="str">
        <f aca="false">IF(OR(B305="",AND(A305=A304 ,B305=B304)),"",SUMIFS($F$5:$F$504,$A$5:$A$504,A305,$B$5:$B$504,B305))</f>
        <v/>
      </c>
      <c r="I305" s="34"/>
      <c r="J305" s="35"/>
    </row>
    <row r="306" customFormat="false" ht="15" hidden="false" customHeight="false" outlineLevel="0" collapsed="false">
      <c r="A306" s="32"/>
      <c r="B306" s="29"/>
      <c r="C306" s="29"/>
      <c r="D306" s="25"/>
      <c r="E306" s="25"/>
      <c r="F306" s="25"/>
      <c r="G306" s="33" t="str">
        <f aca="false">IF(OR(B306="",AND(A306=A305 ,B306=B305)),"",SUMIFS($D$5:$D$504,$A$5:$A$504,A306,$B$5:$B$504,B306)+SUMIFS($E$5:$E$504,$A$5:$A$504,A306,$B$5:$B$504,B306)-SUMIFS($F$5:$F$504,$A$5:$A$504,A306,$B$5:$B$504,B306))</f>
        <v/>
      </c>
      <c r="H306" s="33" t="str">
        <f aca="false">IF(OR(B306="",AND(A306=A305 ,B306=B305)),"",SUMIFS($F$5:$F$504,$A$5:$A$504,A306,$B$5:$B$504,B306))</f>
        <v/>
      </c>
      <c r="I306" s="34"/>
      <c r="J306" s="35"/>
    </row>
    <row r="307" customFormat="false" ht="15" hidden="false" customHeight="false" outlineLevel="0" collapsed="false">
      <c r="A307" s="32"/>
      <c r="B307" s="29"/>
      <c r="C307" s="29"/>
      <c r="D307" s="25"/>
      <c r="E307" s="25"/>
      <c r="F307" s="25"/>
      <c r="G307" s="33" t="str">
        <f aca="false">IF(OR(B307="",AND(A307=A306 ,B307=B306)),"",SUMIFS($D$5:$D$504,$A$5:$A$504,A307,$B$5:$B$504,B307)+SUMIFS($E$5:$E$504,$A$5:$A$504,A307,$B$5:$B$504,B307)-SUMIFS($F$5:$F$504,$A$5:$A$504,A307,$B$5:$B$504,B307))</f>
        <v/>
      </c>
      <c r="H307" s="33" t="str">
        <f aca="false">IF(OR(B307="",AND(A307=A306 ,B307=B306)),"",SUMIFS($F$5:$F$504,$A$5:$A$504,A307,$B$5:$B$504,B307))</f>
        <v/>
      </c>
      <c r="I307" s="34"/>
      <c r="J307" s="35"/>
    </row>
    <row r="308" customFormat="false" ht="15" hidden="false" customHeight="false" outlineLevel="0" collapsed="false">
      <c r="A308" s="32"/>
      <c r="B308" s="29"/>
      <c r="C308" s="29"/>
      <c r="D308" s="25"/>
      <c r="E308" s="25"/>
      <c r="F308" s="25"/>
      <c r="G308" s="33" t="str">
        <f aca="false">IF(OR(B308="",AND(A308=A307 ,B308=B307)),"",SUMIFS($D$5:$D$504,$A$5:$A$504,A308,$B$5:$B$504,B308)+SUMIFS($E$5:$E$504,$A$5:$A$504,A308,$B$5:$B$504,B308)-SUMIFS($F$5:$F$504,$A$5:$A$504,A308,$B$5:$B$504,B308))</f>
        <v/>
      </c>
      <c r="H308" s="33" t="str">
        <f aca="false">IF(OR(B308="",AND(A308=A307 ,B308=B307)),"",SUMIFS($F$5:$F$504,$A$5:$A$504,A308,$B$5:$B$504,B308))</f>
        <v/>
      </c>
      <c r="I308" s="34"/>
      <c r="J308" s="35"/>
    </row>
    <row r="309" customFormat="false" ht="15" hidden="false" customHeight="false" outlineLevel="0" collapsed="false">
      <c r="A309" s="32"/>
      <c r="B309" s="29"/>
      <c r="C309" s="29"/>
      <c r="D309" s="25"/>
      <c r="E309" s="25"/>
      <c r="F309" s="25"/>
      <c r="G309" s="33" t="str">
        <f aca="false">IF(OR(B309="",AND(A309=A308 ,B309=B308)),"",SUMIFS($D$5:$D$504,$A$5:$A$504,A309,$B$5:$B$504,B309)+SUMIFS($E$5:$E$504,$A$5:$A$504,A309,$B$5:$B$504,B309)-SUMIFS($F$5:$F$504,$A$5:$A$504,A309,$B$5:$B$504,B309))</f>
        <v/>
      </c>
      <c r="H309" s="33" t="str">
        <f aca="false">IF(OR(B309="",AND(A309=A308 ,B309=B308)),"",SUMIFS($F$5:$F$504,$A$5:$A$504,A309,$B$5:$B$504,B309))</f>
        <v/>
      </c>
      <c r="I309" s="34"/>
      <c r="J309" s="35"/>
    </row>
    <row r="310" customFormat="false" ht="15" hidden="false" customHeight="false" outlineLevel="0" collapsed="false">
      <c r="A310" s="32"/>
      <c r="B310" s="29"/>
      <c r="C310" s="29"/>
      <c r="D310" s="25"/>
      <c r="E310" s="25"/>
      <c r="F310" s="25"/>
      <c r="G310" s="33" t="str">
        <f aca="false">IF(OR(B310="",AND(A310=A309 ,B310=B309)),"",SUMIFS($D$5:$D$504,$A$5:$A$504,A310,$B$5:$B$504,B310)+SUMIFS($E$5:$E$504,$A$5:$A$504,A310,$B$5:$B$504,B310)-SUMIFS($F$5:$F$504,$A$5:$A$504,A310,$B$5:$B$504,B310))</f>
        <v/>
      </c>
      <c r="H310" s="33" t="str">
        <f aca="false">IF(OR(B310="",AND(A310=A309 ,B310=B309)),"",SUMIFS($F$5:$F$504,$A$5:$A$504,A310,$B$5:$B$504,B310))</f>
        <v/>
      </c>
      <c r="I310" s="34"/>
      <c r="J310" s="35"/>
    </row>
    <row r="311" customFormat="false" ht="15" hidden="false" customHeight="false" outlineLevel="0" collapsed="false">
      <c r="A311" s="32"/>
      <c r="B311" s="29"/>
      <c r="C311" s="29"/>
      <c r="D311" s="25"/>
      <c r="E311" s="25"/>
      <c r="F311" s="25"/>
      <c r="G311" s="33" t="str">
        <f aca="false">IF(OR(B311="",AND(A311=A310 ,B311=B310)),"",SUMIFS($D$5:$D$504,$A$5:$A$504,A311,$B$5:$B$504,B311)+SUMIFS($E$5:$E$504,$A$5:$A$504,A311,$B$5:$B$504,B311)-SUMIFS($F$5:$F$504,$A$5:$A$504,A311,$B$5:$B$504,B311))</f>
        <v/>
      </c>
      <c r="H311" s="33" t="str">
        <f aca="false">IF(OR(B311="",AND(A311=A310 ,B311=B310)),"",SUMIFS($F$5:$F$504,$A$5:$A$504,A311,$B$5:$B$504,B311))</f>
        <v/>
      </c>
      <c r="I311" s="34"/>
      <c r="J311" s="35"/>
    </row>
    <row r="312" customFormat="false" ht="15" hidden="false" customHeight="false" outlineLevel="0" collapsed="false">
      <c r="A312" s="32"/>
      <c r="B312" s="29"/>
      <c r="C312" s="29"/>
      <c r="D312" s="25"/>
      <c r="E312" s="25"/>
      <c r="F312" s="25"/>
      <c r="G312" s="33" t="str">
        <f aca="false">IF(OR(B312="",AND(A312=A311 ,B312=B311)),"",SUMIFS($D$5:$D$504,$A$5:$A$504,A312,$B$5:$B$504,B312)+SUMIFS($E$5:$E$504,$A$5:$A$504,A312,$B$5:$B$504,B312)-SUMIFS($F$5:$F$504,$A$5:$A$504,A312,$B$5:$B$504,B312))</f>
        <v/>
      </c>
      <c r="H312" s="33" t="str">
        <f aca="false">IF(OR(B312="",AND(A312=A311 ,B312=B311)),"",SUMIFS($F$5:$F$504,$A$5:$A$504,A312,$B$5:$B$504,B312))</f>
        <v/>
      </c>
      <c r="I312" s="34"/>
      <c r="J312" s="35"/>
    </row>
    <row r="313" customFormat="false" ht="15" hidden="false" customHeight="false" outlineLevel="0" collapsed="false">
      <c r="A313" s="32"/>
      <c r="B313" s="29"/>
      <c r="C313" s="29"/>
      <c r="D313" s="25"/>
      <c r="E313" s="25"/>
      <c r="F313" s="25"/>
      <c r="G313" s="33" t="str">
        <f aca="false">IF(OR(B313="",AND(A313=A312 ,B313=B312)),"",SUMIFS($D$5:$D$504,$A$5:$A$504,A313,$B$5:$B$504,B313)+SUMIFS($E$5:$E$504,$A$5:$A$504,A313,$B$5:$B$504,B313)-SUMIFS($F$5:$F$504,$A$5:$A$504,A313,$B$5:$B$504,B313))</f>
        <v/>
      </c>
      <c r="H313" s="33" t="str">
        <f aca="false">IF(OR(B313="",AND(A313=A312 ,B313=B312)),"",SUMIFS($F$5:$F$504,$A$5:$A$504,A313,$B$5:$B$504,B313))</f>
        <v/>
      </c>
      <c r="I313" s="34"/>
      <c r="J313" s="35"/>
    </row>
    <row r="314" customFormat="false" ht="15" hidden="false" customHeight="false" outlineLevel="0" collapsed="false">
      <c r="A314" s="32"/>
      <c r="B314" s="29"/>
      <c r="C314" s="29"/>
      <c r="D314" s="25"/>
      <c r="E314" s="25"/>
      <c r="F314" s="25"/>
      <c r="G314" s="33" t="str">
        <f aca="false">IF(OR(B314="",AND(A314=A313 ,B314=B313)),"",SUMIFS($D$5:$D$504,$A$5:$A$504,A314,$B$5:$B$504,B314)+SUMIFS($E$5:$E$504,$A$5:$A$504,A314,$B$5:$B$504,B314)-SUMIFS($F$5:$F$504,$A$5:$A$504,A314,$B$5:$B$504,B314))</f>
        <v/>
      </c>
      <c r="H314" s="33" t="str">
        <f aca="false">IF(OR(B314="",AND(A314=A313 ,B314=B313)),"",SUMIFS($F$5:$F$504,$A$5:$A$504,A314,$B$5:$B$504,B314))</f>
        <v/>
      </c>
      <c r="I314" s="34"/>
      <c r="J314" s="35"/>
    </row>
    <row r="315" customFormat="false" ht="15" hidden="false" customHeight="false" outlineLevel="0" collapsed="false">
      <c r="A315" s="32"/>
      <c r="B315" s="29"/>
      <c r="C315" s="29"/>
      <c r="D315" s="25"/>
      <c r="E315" s="25"/>
      <c r="F315" s="25"/>
      <c r="G315" s="33" t="str">
        <f aca="false">IF(OR(B315="",AND(A315=A314 ,B315=B314)),"",SUMIFS($D$5:$D$504,$A$5:$A$504,A315,$B$5:$B$504,B315)+SUMIFS($E$5:$E$504,$A$5:$A$504,A315,$B$5:$B$504,B315)-SUMIFS($F$5:$F$504,$A$5:$A$504,A315,$B$5:$B$504,B315))</f>
        <v/>
      </c>
      <c r="H315" s="33" t="str">
        <f aca="false">IF(OR(B315="",AND(A315=A314 ,B315=B314)),"",SUMIFS($F$5:$F$504,$A$5:$A$504,A315,$B$5:$B$504,B315))</f>
        <v/>
      </c>
      <c r="I315" s="34"/>
      <c r="J315" s="35"/>
    </row>
    <row r="316" customFormat="false" ht="15" hidden="false" customHeight="false" outlineLevel="0" collapsed="false">
      <c r="A316" s="32"/>
      <c r="B316" s="29"/>
      <c r="C316" s="29"/>
      <c r="D316" s="25"/>
      <c r="E316" s="25"/>
      <c r="F316" s="25"/>
      <c r="G316" s="33" t="str">
        <f aca="false">IF(OR(B316="",AND(A316=A315 ,B316=B315)),"",SUMIFS($D$5:$D$504,$A$5:$A$504,A316,$B$5:$B$504,B316)+SUMIFS($E$5:$E$504,$A$5:$A$504,A316,$B$5:$B$504,B316)-SUMIFS($F$5:$F$504,$A$5:$A$504,A316,$B$5:$B$504,B316))</f>
        <v/>
      </c>
      <c r="H316" s="33" t="str">
        <f aca="false">IF(OR(B316="",AND(A316=A315 ,B316=B315)),"",SUMIFS($F$5:$F$504,$A$5:$A$504,A316,$B$5:$B$504,B316))</f>
        <v/>
      </c>
      <c r="I316" s="34"/>
      <c r="J316" s="35"/>
    </row>
    <row r="317" customFormat="false" ht="15" hidden="false" customHeight="false" outlineLevel="0" collapsed="false">
      <c r="A317" s="32"/>
      <c r="B317" s="29"/>
      <c r="C317" s="29"/>
      <c r="D317" s="25"/>
      <c r="E317" s="25"/>
      <c r="F317" s="25"/>
      <c r="G317" s="33" t="str">
        <f aca="false">IF(OR(B317="",AND(A317=A316 ,B317=B316)),"",SUMIFS($D$5:$D$504,$A$5:$A$504,A317,$B$5:$B$504,B317)+SUMIFS($E$5:$E$504,$A$5:$A$504,A317,$B$5:$B$504,B317)-SUMIFS($F$5:$F$504,$A$5:$A$504,A317,$B$5:$B$504,B317))</f>
        <v/>
      </c>
      <c r="H317" s="33" t="str">
        <f aca="false">IF(OR(B317="",AND(A317=A316 ,B317=B316)),"",SUMIFS($F$5:$F$504,$A$5:$A$504,A317,$B$5:$B$504,B317))</f>
        <v/>
      </c>
      <c r="I317" s="34"/>
      <c r="J317" s="35"/>
    </row>
    <row r="318" customFormat="false" ht="15" hidden="false" customHeight="false" outlineLevel="0" collapsed="false">
      <c r="A318" s="32"/>
      <c r="B318" s="29"/>
      <c r="C318" s="29"/>
      <c r="D318" s="25"/>
      <c r="E318" s="25"/>
      <c r="F318" s="25"/>
      <c r="G318" s="33" t="str">
        <f aca="false">IF(OR(B318="",AND(A318=A317 ,B318=B317)),"",SUMIFS($D$5:$D$504,$A$5:$A$504,A318,$B$5:$B$504,B318)+SUMIFS($E$5:$E$504,$A$5:$A$504,A318,$B$5:$B$504,B318)-SUMIFS($F$5:$F$504,$A$5:$A$504,A318,$B$5:$B$504,B318))</f>
        <v/>
      </c>
      <c r="H318" s="33" t="str">
        <f aca="false">IF(OR(B318="",AND(A318=A317 ,B318=B317)),"",SUMIFS($F$5:$F$504,$A$5:$A$504,A318,$B$5:$B$504,B318))</f>
        <v/>
      </c>
      <c r="I318" s="34"/>
      <c r="J318" s="35"/>
    </row>
    <row r="319" customFormat="false" ht="15" hidden="false" customHeight="false" outlineLevel="0" collapsed="false">
      <c r="A319" s="32"/>
      <c r="B319" s="29"/>
      <c r="C319" s="29"/>
      <c r="D319" s="25"/>
      <c r="E319" s="25"/>
      <c r="F319" s="25"/>
      <c r="G319" s="33" t="str">
        <f aca="false">IF(OR(B319="",AND(A319=A318 ,B319=B318)),"",SUMIFS($D$5:$D$504,$A$5:$A$504,A319,$B$5:$B$504,B319)+SUMIFS($E$5:$E$504,$A$5:$A$504,A319,$B$5:$B$504,B319)-SUMIFS($F$5:$F$504,$A$5:$A$504,A319,$B$5:$B$504,B319))</f>
        <v/>
      </c>
      <c r="H319" s="33" t="str">
        <f aca="false">IF(OR(B319="",AND(A319=A318 ,B319=B318)),"",SUMIFS($F$5:$F$504,$A$5:$A$504,A319,$B$5:$B$504,B319))</f>
        <v/>
      </c>
      <c r="I319" s="34"/>
      <c r="J319" s="35"/>
    </row>
    <row r="320" customFormat="false" ht="15" hidden="false" customHeight="false" outlineLevel="0" collapsed="false">
      <c r="A320" s="32"/>
      <c r="B320" s="29"/>
      <c r="C320" s="29"/>
      <c r="D320" s="25"/>
      <c r="E320" s="25"/>
      <c r="F320" s="25"/>
      <c r="G320" s="33" t="str">
        <f aca="false">IF(OR(B320="",AND(A320=A319 ,B320=B319)),"",SUMIFS($D$5:$D$504,$A$5:$A$504,A320,$B$5:$B$504,B320)+SUMIFS($E$5:$E$504,$A$5:$A$504,A320,$B$5:$B$504,B320)-SUMIFS($F$5:$F$504,$A$5:$A$504,A320,$B$5:$B$504,B320))</f>
        <v/>
      </c>
      <c r="H320" s="33" t="str">
        <f aca="false">IF(OR(B320="",AND(A320=A319 ,B320=B319)),"",SUMIFS($F$5:$F$504,$A$5:$A$504,A320,$B$5:$B$504,B320))</f>
        <v/>
      </c>
      <c r="I320" s="34"/>
      <c r="J320" s="35"/>
    </row>
    <row r="321" customFormat="false" ht="15" hidden="false" customHeight="false" outlineLevel="0" collapsed="false">
      <c r="A321" s="32"/>
      <c r="B321" s="29"/>
      <c r="C321" s="29"/>
      <c r="D321" s="25"/>
      <c r="E321" s="25"/>
      <c r="F321" s="25"/>
      <c r="G321" s="33" t="str">
        <f aca="false">IF(OR(B321="",AND(A321=A320 ,B321=B320)),"",SUMIFS($D$5:$D$504,$A$5:$A$504,A321,$B$5:$B$504,B321)+SUMIFS($E$5:$E$504,$A$5:$A$504,A321,$B$5:$B$504,B321)-SUMIFS($F$5:$F$504,$A$5:$A$504,A321,$B$5:$B$504,B321))</f>
        <v/>
      </c>
      <c r="H321" s="33" t="str">
        <f aca="false">IF(OR(B321="",AND(A321=A320 ,B321=B320)),"",SUMIFS($F$5:$F$504,$A$5:$A$504,A321,$B$5:$B$504,B321))</f>
        <v/>
      </c>
      <c r="I321" s="34"/>
      <c r="J321" s="35"/>
    </row>
    <row r="322" customFormat="false" ht="15" hidden="false" customHeight="false" outlineLevel="0" collapsed="false">
      <c r="A322" s="32"/>
      <c r="B322" s="29"/>
      <c r="C322" s="29"/>
      <c r="D322" s="25"/>
      <c r="E322" s="25"/>
      <c r="F322" s="25"/>
      <c r="G322" s="33" t="str">
        <f aca="false">IF(OR(B322="",AND(A322=A321 ,B322=B321)),"",SUMIFS($D$5:$D$504,$A$5:$A$504,A322,$B$5:$B$504,B322)+SUMIFS($E$5:$E$504,$A$5:$A$504,A322,$B$5:$B$504,B322)-SUMIFS($F$5:$F$504,$A$5:$A$504,A322,$B$5:$B$504,B322))</f>
        <v/>
      </c>
      <c r="H322" s="33" t="str">
        <f aca="false">IF(OR(B322="",AND(A322=A321 ,B322=B321)),"",SUMIFS($F$5:$F$504,$A$5:$A$504,A322,$B$5:$B$504,B322))</f>
        <v/>
      </c>
      <c r="I322" s="34"/>
      <c r="J322" s="35"/>
    </row>
    <row r="323" customFormat="false" ht="15" hidden="false" customHeight="false" outlineLevel="0" collapsed="false">
      <c r="A323" s="32"/>
      <c r="B323" s="29"/>
      <c r="C323" s="29"/>
      <c r="D323" s="25"/>
      <c r="E323" s="25"/>
      <c r="F323" s="25"/>
      <c r="G323" s="33" t="str">
        <f aca="false">IF(OR(B323="",AND(A323=A322 ,B323=B322)),"",SUMIFS($D$5:$D$504,$A$5:$A$504,A323,$B$5:$B$504,B323)+SUMIFS($E$5:$E$504,$A$5:$A$504,A323,$B$5:$B$504,B323)-SUMIFS($F$5:$F$504,$A$5:$A$504,A323,$B$5:$B$504,B323))</f>
        <v/>
      </c>
      <c r="H323" s="33" t="str">
        <f aca="false">IF(OR(B323="",AND(A323=A322 ,B323=B322)),"",SUMIFS($F$5:$F$504,$A$5:$A$504,A323,$B$5:$B$504,B323))</f>
        <v/>
      </c>
      <c r="I323" s="34"/>
      <c r="J323" s="35"/>
    </row>
    <row r="324" customFormat="false" ht="15" hidden="false" customHeight="false" outlineLevel="0" collapsed="false">
      <c r="A324" s="32"/>
      <c r="B324" s="29"/>
      <c r="C324" s="29"/>
      <c r="D324" s="25"/>
      <c r="E324" s="25"/>
      <c r="F324" s="25"/>
      <c r="G324" s="33" t="str">
        <f aca="false">IF(OR(B324="",AND(A324=A323 ,B324=B323)),"",SUMIFS($D$5:$D$504,$A$5:$A$504,A324,$B$5:$B$504,B324)+SUMIFS($E$5:$E$504,$A$5:$A$504,A324,$B$5:$B$504,B324)-SUMIFS($F$5:$F$504,$A$5:$A$504,A324,$B$5:$B$504,B324))</f>
        <v/>
      </c>
      <c r="H324" s="33" t="str">
        <f aca="false">IF(OR(B324="",AND(A324=A323 ,B324=B323)),"",SUMIFS($F$5:$F$504,$A$5:$A$504,A324,$B$5:$B$504,B324))</f>
        <v/>
      </c>
      <c r="I324" s="34"/>
      <c r="J324" s="35"/>
    </row>
    <row r="325" customFormat="false" ht="15" hidden="false" customHeight="false" outlineLevel="0" collapsed="false">
      <c r="A325" s="32"/>
      <c r="B325" s="29"/>
      <c r="C325" s="29"/>
      <c r="D325" s="25"/>
      <c r="E325" s="25"/>
      <c r="F325" s="25"/>
      <c r="G325" s="33" t="str">
        <f aca="false">IF(OR(B325="",AND(A325=A324 ,B325=B324)),"",SUMIFS($D$5:$D$504,$A$5:$A$504,A325,$B$5:$B$504,B325)+SUMIFS($E$5:$E$504,$A$5:$A$504,A325,$B$5:$B$504,B325)-SUMIFS($F$5:$F$504,$A$5:$A$504,A325,$B$5:$B$504,B325))</f>
        <v/>
      </c>
      <c r="H325" s="33" t="str">
        <f aca="false">IF(OR(B325="",AND(A325=A324 ,B325=B324)),"",SUMIFS($F$5:$F$504,$A$5:$A$504,A325,$B$5:$B$504,B325))</f>
        <v/>
      </c>
      <c r="I325" s="34"/>
      <c r="J325" s="35"/>
    </row>
    <row r="326" customFormat="false" ht="15" hidden="false" customHeight="false" outlineLevel="0" collapsed="false">
      <c r="A326" s="32"/>
      <c r="B326" s="29"/>
      <c r="C326" s="29"/>
      <c r="D326" s="25"/>
      <c r="E326" s="25"/>
      <c r="F326" s="25"/>
      <c r="G326" s="33" t="str">
        <f aca="false">IF(OR(B326="",AND(A326=A325 ,B326=B325)),"",SUMIFS($D$5:$D$504,$A$5:$A$504,A326,$B$5:$B$504,B326)+SUMIFS($E$5:$E$504,$A$5:$A$504,A326,$B$5:$B$504,B326)-SUMIFS($F$5:$F$504,$A$5:$A$504,A326,$B$5:$B$504,B326))</f>
        <v/>
      </c>
      <c r="H326" s="33" t="str">
        <f aca="false">IF(OR(B326="",AND(A326=A325 ,B326=B325)),"",SUMIFS($F$5:$F$504,$A$5:$A$504,A326,$B$5:$B$504,B326))</f>
        <v/>
      </c>
      <c r="I326" s="34"/>
      <c r="J326" s="35"/>
    </row>
    <row r="327" customFormat="false" ht="15" hidden="false" customHeight="false" outlineLevel="0" collapsed="false">
      <c r="A327" s="32"/>
      <c r="B327" s="29"/>
      <c r="C327" s="29"/>
      <c r="D327" s="25"/>
      <c r="E327" s="25"/>
      <c r="F327" s="25"/>
      <c r="G327" s="33" t="str">
        <f aca="false">IF(OR(B327="",AND(A327=A326 ,B327=B326)),"",SUMIFS($D$5:$D$504,$A$5:$A$504,A327,$B$5:$B$504,B327)+SUMIFS($E$5:$E$504,$A$5:$A$504,A327,$B$5:$B$504,B327)-SUMIFS($F$5:$F$504,$A$5:$A$504,A327,$B$5:$B$504,B327))</f>
        <v/>
      </c>
      <c r="H327" s="33" t="str">
        <f aca="false">IF(OR(B327="",AND(A327=A326 ,B327=B326)),"",SUMIFS($F$5:$F$504,$A$5:$A$504,A327,$B$5:$B$504,B327))</f>
        <v/>
      </c>
      <c r="I327" s="34"/>
      <c r="J327" s="35"/>
    </row>
    <row r="328" customFormat="false" ht="15" hidden="false" customHeight="false" outlineLevel="0" collapsed="false">
      <c r="A328" s="32"/>
      <c r="B328" s="29"/>
      <c r="C328" s="29"/>
      <c r="D328" s="25"/>
      <c r="E328" s="25"/>
      <c r="F328" s="25"/>
      <c r="G328" s="33" t="str">
        <f aca="false">IF(OR(B328="",AND(A328=A327 ,B328=B327)),"",SUMIFS($D$5:$D$504,$A$5:$A$504,A328,$B$5:$B$504,B328)+SUMIFS($E$5:$E$504,$A$5:$A$504,A328,$B$5:$B$504,B328)-SUMIFS($F$5:$F$504,$A$5:$A$504,A328,$B$5:$B$504,B328))</f>
        <v/>
      </c>
      <c r="H328" s="33" t="str">
        <f aca="false">IF(OR(B328="",AND(A328=A327 ,B328=B327)),"",SUMIFS($F$5:$F$504,$A$5:$A$504,A328,$B$5:$B$504,B328))</f>
        <v/>
      </c>
      <c r="I328" s="34"/>
      <c r="J328" s="35"/>
    </row>
    <row r="329" customFormat="false" ht="15" hidden="false" customHeight="false" outlineLevel="0" collapsed="false">
      <c r="A329" s="32"/>
      <c r="B329" s="29"/>
      <c r="C329" s="29"/>
      <c r="D329" s="25"/>
      <c r="E329" s="25"/>
      <c r="F329" s="25"/>
      <c r="G329" s="33" t="str">
        <f aca="false">IF(OR(B329="",AND(A329=A328 ,B329=B328)),"",SUMIFS($D$5:$D$504,$A$5:$A$504,A329,$B$5:$B$504,B329)+SUMIFS($E$5:$E$504,$A$5:$A$504,A329,$B$5:$B$504,B329)-SUMIFS($F$5:$F$504,$A$5:$A$504,A329,$B$5:$B$504,B329))</f>
        <v/>
      </c>
      <c r="H329" s="33" t="str">
        <f aca="false">IF(OR(B329="",AND(A329=A328 ,B329=B328)),"",SUMIFS($F$5:$F$504,$A$5:$A$504,A329,$B$5:$B$504,B329))</f>
        <v/>
      </c>
      <c r="I329" s="34"/>
      <c r="J329" s="35"/>
    </row>
    <row r="330" customFormat="false" ht="15" hidden="false" customHeight="false" outlineLevel="0" collapsed="false">
      <c r="A330" s="32"/>
      <c r="B330" s="29"/>
      <c r="C330" s="29"/>
      <c r="D330" s="25"/>
      <c r="E330" s="25"/>
      <c r="F330" s="25"/>
      <c r="G330" s="33" t="str">
        <f aca="false">IF(OR(B330="",AND(A330=A329 ,B330=B329)),"",SUMIFS($D$5:$D$504,$A$5:$A$504,A330,$B$5:$B$504,B330)+SUMIFS($E$5:$E$504,$A$5:$A$504,A330,$B$5:$B$504,B330)-SUMIFS($F$5:$F$504,$A$5:$A$504,A330,$B$5:$B$504,B330))</f>
        <v/>
      </c>
      <c r="H330" s="33" t="str">
        <f aca="false">IF(OR(B330="",AND(A330=A329 ,B330=B329)),"",SUMIFS($F$5:$F$504,$A$5:$A$504,A330,$B$5:$B$504,B330))</f>
        <v/>
      </c>
      <c r="I330" s="34"/>
      <c r="J330" s="35"/>
    </row>
    <row r="331" customFormat="false" ht="15" hidden="false" customHeight="false" outlineLevel="0" collapsed="false">
      <c r="A331" s="32"/>
      <c r="B331" s="29"/>
      <c r="C331" s="29"/>
      <c r="D331" s="25"/>
      <c r="E331" s="25"/>
      <c r="F331" s="25"/>
      <c r="G331" s="33" t="str">
        <f aca="false">IF(OR(B331="",AND(A331=A330 ,B331=B330)),"",SUMIFS($D$5:$D$504,$A$5:$A$504,A331,$B$5:$B$504,B331)+SUMIFS($E$5:$E$504,$A$5:$A$504,A331,$B$5:$B$504,B331)-SUMIFS($F$5:$F$504,$A$5:$A$504,A331,$B$5:$B$504,B331))</f>
        <v/>
      </c>
      <c r="H331" s="33" t="str">
        <f aca="false">IF(OR(B331="",AND(A331=A330 ,B331=B330)),"",SUMIFS($F$5:$F$504,$A$5:$A$504,A331,$B$5:$B$504,B331))</f>
        <v/>
      </c>
      <c r="I331" s="34"/>
      <c r="J331" s="35"/>
    </row>
    <row r="332" customFormat="false" ht="15" hidden="false" customHeight="false" outlineLevel="0" collapsed="false">
      <c r="A332" s="32"/>
      <c r="B332" s="29"/>
      <c r="C332" s="29"/>
      <c r="D332" s="25"/>
      <c r="E332" s="25"/>
      <c r="F332" s="25"/>
      <c r="G332" s="33" t="str">
        <f aca="false">IF(OR(B332="",AND(A332=A331 ,B332=B331)),"",SUMIFS($D$5:$D$504,$A$5:$A$504,A332,$B$5:$B$504,B332)+SUMIFS($E$5:$E$504,$A$5:$A$504,A332,$B$5:$B$504,B332)-SUMIFS($F$5:$F$504,$A$5:$A$504,A332,$B$5:$B$504,B332))</f>
        <v/>
      </c>
      <c r="H332" s="33" t="str">
        <f aca="false">IF(OR(B332="",AND(A332=A331 ,B332=B331)),"",SUMIFS($F$5:$F$504,$A$5:$A$504,A332,$B$5:$B$504,B332))</f>
        <v/>
      </c>
      <c r="I332" s="34"/>
      <c r="J332" s="35"/>
    </row>
    <row r="333" customFormat="false" ht="15" hidden="false" customHeight="false" outlineLevel="0" collapsed="false">
      <c r="A333" s="32"/>
      <c r="B333" s="29"/>
      <c r="C333" s="29"/>
      <c r="D333" s="25"/>
      <c r="E333" s="25"/>
      <c r="F333" s="25"/>
      <c r="G333" s="33" t="str">
        <f aca="false">IF(OR(B333="",AND(A333=A332 ,B333=B332)),"",SUMIFS($D$5:$D$504,$A$5:$A$504,A333,$B$5:$B$504,B333)+SUMIFS($E$5:$E$504,$A$5:$A$504,A333,$B$5:$B$504,B333)-SUMIFS($F$5:$F$504,$A$5:$A$504,A333,$B$5:$B$504,B333))</f>
        <v/>
      </c>
      <c r="H333" s="33" t="str">
        <f aca="false">IF(OR(B333="",AND(A333=A332 ,B333=B332)),"",SUMIFS($F$5:$F$504,$A$5:$A$504,A333,$B$5:$B$504,B333))</f>
        <v/>
      </c>
      <c r="I333" s="34"/>
      <c r="J333" s="35"/>
    </row>
    <row r="334" customFormat="false" ht="15" hidden="false" customHeight="false" outlineLevel="0" collapsed="false">
      <c r="A334" s="32"/>
      <c r="B334" s="29"/>
      <c r="C334" s="29"/>
      <c r="D334" s="25"/>
      <c r="E334" s="25"/>
      <c r="F334" s="25"/>
      <c r="G334" s="33" t="str">
        <f aca="false">IF(OR(B334="",AND(A334=A333 ,B334=B333)),"",SUMIFS($D$5:$D$504,$A$5:$A$504,A334,$B$5:$B$504,B334)+SUMIFS($E$5:$E$504,$A$5:$A$504,A334,$B$5:$B$504,B334)-SUMIFS($F$5:$F$504,$A$5:$A$504,A334,$B$5:$B$504,B334))</f>
        <v/>
      </c>
      <c r="H334" s="33" t="str">
        <f aca="false">IF(OR(B334="",AND(A334=A333 ,B334=B333)),"",SUMIFS($F$5:$F$504,$A$5:$A$504,A334,$B$5:$B$504,B334))</f>
        <v/>
      </c>
      <c r="I334" s="34"/>
      <c r="J334" s="35"/>
    </row>
    <row r="335" customFormat="false" ht="15" hidden="false" customHeight="false" outlineLevel="0" collapsed="false">
      <c r="A335" s="32"/>
      <c r="B335" s="29"/>
      <c r="C335" s="29"/>
      <c r="D335" s="25"/>
      <c r="E335" s="25"/>
      <c r="F335" s="25"/>
      <c r="G335" s="33" t="str">
        <f aca="false">IF(OR(B335="",AND(A335=A334 ,B335=B334)),"",SUMIFS($D$5:$D$504,$A$5:$A$504,A335,$B$5:$B$504,B335)+SUMIFS($E$5:$E$504,$A$5:$A$504,A335,$B$5:$B$504,B335)-SUMIFS($F$5:$F$504,$A$5:$A$504,A335,$B$5:$B$504,B335))</f>
        <v/>
      </c>
      <c r="H335" s="33" t="str">
        <f aca="false">IF(OR(B335="",AND(A335=A334 ,B335=B334)),"",SUMIFS($F$5:$F$504,$A$5:$A$504,A335,$B$5:$B$504,B335))</f>
        <v/>
      </c>
      <c r="I335" s="34"/>
      <c r="J335" s="35"/>
    </row>
    <row r="336" customFormat="false" ht="15" hidden="false" customHeight="false" outlineLevel="0" collapsed="false">
      <c r="A336" s="32"/>
      <c r="B336" s="29"/>
      <c r="C336" s="29"/>
      <c r="D336" s="25"/>
      <c r="E336" s="25"/>
      <c r="F336" s="25"/>
      <c r="G336" s="33" t="str">
        <f aca="false">IF(OR(B336="",AND(A336=A335 ,B336=B335)),"",SUMIFS($D$5:$D$504,$A$5:$A$504,A336,$B$5:$B$504,B336)+SUMIFS($E$5:$E$504,$A$5:$A$504,A336,$B$5:$B$504,B336)-SUMIFS($F$5:$F$504,$A$5:$A$504,A336,$B$5:$B$504,B336))</f>
        <v/>
      </c>
      <c r="H336" s="33" t="str">
        <f aca="false">IF(OR(B336="",AND(A336=A335 ,B336=B335)),"",SUMIFS($F$5:$F$504,$A$5:$A$504,A336,$B$5:$B$504,B336))</f>
        <v/>
      </c>
      <c r="I336" s="34"/>
      <c r="J336" s="35"/>
    </row>
    <row r="337" customFormat="false" ht="15" hidden="false" customHeight="false" outlineLevel="0" collapsed="false">
      <c r="A337" s="32"/>
      <c r="B337" s="29"/>
      <c r="C337" s="29"/>
      <c r="D337" s="25"/>
      <c r="E337" s="25"/>
      <c r="F337" s="25"/>
      <c r="G337" s="33" t="str">
        <f aca="false">IF(OR(B337="",AND(A337=A336 ,B337=B336)),"",SUMIFS($D$5:$D$504,$A$5:$A$504,A337,$B$5:$B$504,B337)+SUMIFS($E$5:$E$504,$A$5:$A$504,A337,$B$5:$B$504,B337)-SUMIFS($F$5:$F$504,$A$5:$A$504,A337,$B$5:$B$504,B337))</f>
        <v/>
      </c>
      <c r="H337" s="33" t="str">
        <f aca="false">IF(OR(B337="",AND(A337=A336 ,B337=B336)),"",SUMIFS($F$5:$F$504,$A$5:$A$504,A337,$B$5:$B$504,B337))</f>
        <v/>
      </c>
      <c r="I337" s="34"/>
      <c r="J337" s="35"/>
    </row>
    <row r="338" customFormat="false" ht="15" hidden="false" customHeight="false" outlineLevel="0" collapsed="false">
      <c r="A338" s="32"/>
      <c r="B338" s="29"/>
      <c r="C338" s="29"/>
      <c r="D338" s="25"/>
      <c r="E338" s="25"/>
      <c r="F338" s="25"/>
      <c r="G338" s="33" t="str">
        <f aca="false">IF(OR(B338="",AND(A338=A337 ,B338=B337)),"",SUMIFS($D$5:$D$504,$A$5:$A$504,A338,$B$5:$B$504,B338)+SUMIFS($E$5:$E$504,$A$5:$A$504,A338,$B$5:$B$504,B338)-SUMIFS($F$5:$F$504,$A$5:$A$504,A338,$B$5:$B$504,B338))</f>
        <v/>
      </c>
      <c r="H338" s="33" t="str">
        <f aca="false">IF(OR(B338="",AND(A338=A337 ,B338=B337)),"",SUMIFS($F$5:$F$504,$A$5:$A$504,A338,$B$5:$B$504,B338))</f>
        <v/>
      </c>
      <c r="I338" s="34"/>
      <c r="J338" s="35"/>
    </row>
    <row r="339" customFormat="false" ht="15" hidden="false" customHeight="false" outlineLevel="0" collapsed="false">
      <c r="A339" s="32"/>
      <c r="B339" s="29"/>
      <c r="C339" s="29"/>
      <c r="D339" s="25"/>
      <c r="E339" s="25"/>
      <c r="F339" s="25"/>
      <c r="G339" s="33" t="str">
        <f aca="false">IF(OR(B339="",AND(A339=A338 ,B339=B338)),"",SUMIFS($D$5:$D$504,$A$5:$A$504,A339,$B$5:$B$504,B339)+SUMIFS($E$5:$E$504,$A$5:$A$504,A339,$B$5:$B$504,B339)-SUMIFS($F$5:$F$504,$A$5:$A$504,A339,$B$5:$B$504,B339))</f>
        <v/>
      </c>
      <c r="H339" s="33" t="str">
        <f aca="false">IF(OR(B339="",AND(A339=A338 ,B339=B338)),"",SUMIFS($F$5:$F$504,$A$5:$A$504,A339,$B$5:$B$504,B339))</f>
        <v/>
      </c>
      <c r="I339" s="34"/>
      <c r="J339" s="35"/>
    </row>
    <row r="340" customFormat="false" ht="15" hidden="false" customHeight="false" outlineLevel="0" collapsed="false">
      <c r="A340" s="32"/>
      <c r="B340" s="29"/>
      <c r="C340" s="29"/>
      <c r="D340" s="25"/>
      <c r="E340" s="25"/>
      <c r="F340" s="25"/>
      <c r="G340" s="33" t="str">
        <f aca="false">IF(OR(B340="",AND(A340=A339 ,B340=B339)),"",SUMIFS($D$5:$D$504,$A$5:$A$504,A340,$B$5:$B$504,B340)+SUMIFS($E$5:$E$504,$A$5:$A$504,A340,$B$5:$B$504,B340)-SUMIFS($F$5:$F$504,$A$5:$A$504,A340,$B$5:$B$504,B340))</f>
        <v/>
      </c>
      <c r="H340" s="33" t="str">
        <f aca="false">IF(OR(B340="",AND(A340=A339 ,B340=B339)),"",SUMIFS($F$5:$F$504,$A$5:$A$504,A340,$B$5:$B$504,B340))</f>
        <v/>
      </c>
      <c r="I340" s="34"/>
      <c r="J340" s="35"/>
    </row>
    <row r="341" customFormat="false" ht="15" hidden="false" customHeight="false" outlineLevel="0" collapsed="false">
      <c r="A341" s="32"/>
      <c r="B341" s="29"/>
      <c r="C341" s="29"/>
      <c r="D341" s="25"/>
      <c r="E341" s="25"/>
      <c r="F341" s="25"/>
      <c r="G341" s="33" t="str">
        <f aca="false">IF(OR(B341="",AND(A341=A340 ,B341=B340)),"",SUMIFS($D$5:$D$504,$A$5:$A$504,A341,$B$5:$B$504,B341)+SUMIFS($E$5:$E$504,$A$5:$A$504,A341,$B$5:$B$504,B341)-SUMIFS($F$5:$F$504,$A$5:$A$504,A341,$B$5:$B$504,B341))</f>
        <v/>
      </c>
      <c r="H341" s="33" t="str">
        <f aca="false">IF(OR(B341="",AND(A341=A340 ,B341=B340)),"",SUMIFS($F$5:$F$504,$A$5:$A$504,A341,$B$5:$B$504,B341))</f>
        <v/>
      </c>
      <c r="I341" s="34"/>
      <c r="J341" s="35"/>
    </row>
    <row r="342" customFormat="false" ht="15" hidden="false" customHeight="false" outlineLevel="0" collapsed="false">
      <c r="A342" s="32"/>
      <c r="B342" s="29"/>
      <c r="C342" s="29"/>
      <c r="D342" s="25"/>
      <c r="E342" s="25"/>
      <c r="F342" s="25"/>
      <c r="G342" s="33" t="str">
        <f aca="false">IF(OR(B342="",AND(A342=A341 ,B342=B341)),"",SUMIFS($D$5:$D$504,$A$5:$A$504,A342,$B$5:$B$504,B342)+SUMIFS($E$5:$E$504,$A$5:$A$504,A342,$B$5:$B$504,B342)-SUMIFS($F$5:$F$504,$A$5:$A$504,A342,$B$5:$B$504,B342))</f>
        <v/>
      </c>
      <c r="H342" s="33" t="str">
        <f aca="false">IF(OR(B342="",AND(A342=A341 ,B342=B341)),"",SUMIFS($F$5:$F$504,$A$5:$A$504,A342,$B$5:$B$504,B342))</f>
        <v/>
      </c>
      <c r="I342" s="34"/>
      <c r="J342" s="35"/>
    </row>
    <row r="343" customFormat="false" ht="15" hidden="false" customHeight="false" outlineLevel="0" collapsed="false">
      <c r="A343" s="32"/>
      <c r="B343" s="29"/>
      <c r="C343" s="29"/>
      <c r="D343" s="25"/>
      <c r="E343" s="25"/>
      <c r="F343" s="25"/>
      <c r="G343" s="33" t="str">
        <f aca="false">IF(OR(B343="",AND(A343=A342 ,B343=B342)),"",SUMIFS($D$5:$D$504,$A$5:$A$504,A343,$B$5:$B$504,B343)+SUMIFS($E$5:$E$504,$A$5:$A$504,A343,$B$5:$B$504,B343)-SUMIFS($F$5:$F$504,$A$5:$A$504,A343,$B$5:$B$504,B343))</f>
        <v/>
      </c>
      <c r="H343" s="33" t="str">
        <f aca="false">IF(OR(B343="",AND(A343=A342 ,B343=B342)),"",SUMIFS($F$5:$F$504,$A$5:$A$504,A343,$B$5:$B$504,B343))</f>
        <v/>
      </c>
      <c r="I343" s="34"/>
      <c r="J343" s="35"/>
    </row>
    <row r="344" customFormat="false" ht="15" hidden="false" customHeight="false" outlineLevel="0" collapsed="false">
      <c r="A344" s="32"/>
      <c r="B344" s="29"/>
      <c r="C344" s="29"/>
      <c r="D344" s="25"/>
      <c r="E344" s="25"/>
      <c r="F344" s="25"/>
      <c r="G344" s="33" t="str">
        <f aca="false">IF(OR(B344="",AND(A344=A343 ,B344=B343)),"",SUMIFS($D$5:$D$504,$A$5:$A$504,A344,$B$5:$B$504,B344)+SUMIFS($E$5:$E$504,$A$5:$A$504,A344,$B$5:$B$504,B344)-SUMIFS($F$5:$F$504,$A$5:$A$504,A344,$B$5:$B$504,B344))</f>
        <v/>
      </c>
      <c r="H344" s="33" t="str">
        <f aca="false">IF(OR(B344="",AND(A344=A343 ,B344=B343)),"",SUMIFS($F$5:$F$504,$A$5:$A$504,A344,$B$5:$B$504,B344))</f>
        <v/>
      </c>
      <c r="I344" s="34"/>
      <c r="J344" s="35"/>
    </row>
    <row r="345" customFormat="false" ht="15" hidden="false" customHeight="false" outlineLevel="0" collapsed="false">
      <c r="A345" s="32"/>
      <c r="B345" s="29"/>
      <c r="C345" s="29"/>
      <c r="D345" s="25"/>
      <c r="E345" s="25"/>
      <c r="F345" s="25"/>
      <c r="G345" s="33" t="str">
        <f aca="false">IF(OR(B345="",AND(A345=A344 ,B345=B344)),"",SUMIFS($D$5:$D$504,$A$5:$A$504,A345,$B$5:$B$504,B345)+SUMIFS($E$5:$E$504,$A$5:$A$504,A345,$B$5:$B$504,B345)-SUMIFS($F$5:$F$504,$A$5:$A$504,A345,$B$5:$B$504,B345))</f>
        <v/>
      </c>
      <c r="H345" s="33" t="str">
        <f aca="false">IF(OR(B345="",AND(A345=A344 ,B345=B344)),"",SUMIFS($F$5:$F$504,$A$5:$A$504,A345,$B$5:$B$504,B345))</f>
        <v/>
      </c>
      <c r="I345" s="34"/>
      <c r="J345" s="35"/>
    </row>
    <row r="346" customFormat="false" ht="15" hidden="false" customHeight="false" outlineLevel="0" collapsed="false">
      <c r="A346" s="32"/>
      <c r="B346" s="29"/>
      <c r="C346" s="29"/>
      <c r="D346" s="25"/>
      <c r="E346" s="25"/>
      <c r="F346" s="25"/>
      <c r="G346" s="33" t="str">
        <f aca="false">IF(OR(B346="",AND(A346=A345 ,B346=B345)),"",SUMIFS($D$5:$D$504,$A$5:$A$504,A346,$B$5:$B$504,B346)+SUMIFS($E$5:$E$504,$A$5:$A$504,A346,$B$5:$B$504,B346)-SUMIFS($F$5:$F$504,$A$5:$A$504,A346,$B$5:$B$504,B346))</f>
        <v/>
      </c>
      <c r="H346" s="33" t="str">
        <f aca="false">IF(OR(B346="",AND(A346=A345 ,B346=B345)),"",SUMIFS($F$5:$F$504,$A$5:$A$504,A346,$B$5:$B$504,B346))</f>
        <v/>
      </c>
      <c r="I346" s="34"/>
      <c r="J346" s="35"/>
    </row>
    <row r="347" customFormat="false" ht="15" hidden="false" customHeight="false" outlineLevel="0" collapsed="false">
      <c r="A347" s="32"/>
      <c r="B347" s="29"/>
      <c r="C347" s="29"/>
      <c r="D347" s="25"/>
      <c r="E347" s="25"/>
      <c r="F347" s="25"/>
      <c r="G347" s="33" t="str">
        <f aca="false">IF(OR(B347="",AND(A347=A346 ,B347=B346)),"",SUMIFS($D$5:$D$504,$A$5:$A$504,A347,$B$5:$B$504,B347)+SUMIFS($E$5:$E$504,$A$5:$A$504,A347,$B$5:$B$504,B347)-SUMIFS($F$5:$F$504,$A$5:$A$504,A347,$B$5:$B$504,B347))</f>
        <v/>
      </c>
      <c r="H347" s="33" t="str">
        <f aca="false">IF(OR(B347="",AND(A347=A346 ,B347=B346)),"",SUMIFS($F$5:$F$504,$A$5:$A$504,A347,$B$5:$B$504,B347))</f>
        <v/>
      </c>
      <c r="I347" s="34"/>
      <c r="J347" s="35"/>
    </row>
    <row r="348" customFormat="false" ht="15" hidden="false" customHeight="false" outlineLevel="0" collapsed="false">
      <c r="A348" s="32"/>
      <c r="B348" s="29"/>
      <c r="C348" s="29"/>
      <c r="D348" s="25"/>
      <c r="E348" s="25"/>
      <c r="F348" s="25"/>
      <c r="G348" s="33" t="str">
        <f aca="false">IF(OR(B348="",AND(A348=A347 ,B348=B347)),"",SUMIFS($D$5:$D$504,$A$5:$A$504,A348,$B$5:$B$504,B348)+SUMIFS($E$5:$E$504,$A$5:$A$504,A348,$B$5:$B$504,B348)-SUMIFS($F$5:$F$504,$A$5:$A$504,A348,$B$5:$B$504,B348))</f>
        <v/>
      </c>
      <c r="H348" s="33" t="str">
        <f aca="false">IF(OR(B348="",AND(A348=A347 ,B348=B347)),"",SUMIFS($F$5:$F$504,$A$5:$A$504,A348,$B$5:$B$504,B348))</f>
        <v/>
      </c>
      <c r="I348" s="34"/>
      <c r="J348" s="35"/>
    </row>
    <row r="349" customFormat="false" ht="15" hidden="false" customHeight="false" outlineLevel="0" collapsed="false">
      <c r="A349" s="32"/>
      <c r="B349" s="29"/>
      <c r="C349" s="29"/>
      <c r="D349" s="25"/>
      <c r="E349" s="25"/>
      <c r="F349" s="25"/>
      <c r="G349" s="33" t="str">
        <f aca="false">IF(OR(B349="",AND(A349=A348 ,B349=B348)),"",SUMIFS($D$5:$D$504,$A$5:$A$504,A349,$B$5:$B$504,B349)+SUMIFS($E$5:$E$504,$A$5:$A$504,A349,$B$5:$B$504,B349)-SUMIFS($F$5:$F$504,$A$5:$A$504,A349,$B$5:$B$504,B349))</f>
        <v/>
      </c>
      <c r="H349" s="33" t="str">
        <f aca="false">IF(OR(B349="",AND(A349=A348 ,B349=B348)),"",SUMIFS($F$5:$F$504,$A$5:$A$504,A349,$B$5:$B$504,B349))</f>
        <v/>
      </c>
      <c r="I349" s="34"/>
      <c r="J349" s="35"/>
    </row>
    <row r="350" customFormat="false" ht="15" hidden="false" customHeight="false" outlineLevel="0" collapsed="false">
      <c r="A350" s="32"/>
      <c r="B350" s="29"/>
      <c r="C350" s="29"/>
      <c r="D350" s="25"/>
      <c r="E350" s="25"/>
      <c r="F350" s="25"/>
      <c r="G350" s="33" t="str">
        <f aca="false">IF(OR(B350="",AND(A350=A349 ,B350=B349)),"",SUMIFS($D$5:$D$504,$A$5:$A$504,A350,$B$5:$B$504,B350)+SUMIFS($E$5:$E$504,$A$5:$A$504,A350,$B$5:$B$504,B350)-SUMIFS($F$5:$F$504,$A$5:$A$504,A350,$B$5:$B$504,B350))</f>
        <v/>
      </c>
      <c r="H350" s="33" t="str">
        <f aca="false">IF(OR(B350="",AND(A350=A349 ,B350=B349)),"",SUMIFS($F$5:$F$504,$A$5:$A$504,A350,$B$5:$B$504,B350))</f>
        <v/>
      </c>
      <c r="I350" s="34"/>
      <c r="J350" s="35"/>
    </row>
    <row r="351" customFormat="false" ht="15" hidden="false" customHeight="false" outlineLevel="0" collapsed="false">
      <c r="A351" s="32"/>
      <c r="B351" s="29"/>
      <c r="C351" s="29"/>
      <c r="D351" s="25"/>
      <c r="E351" s="25"/>
      <c r="F351" s="25"/>
      <c r="G351" s="33" t="str">
        <f aca="false">IF(OR(B351="",AND(A351=A350 ,B351=B350)),"",SUMIFS($D$5:$D$504,$A$5:$A$504,A351,$B$5:$B$504,B351)+SUMIFS($E$5:$E$504,$A$5:$A$504,A351,$B$5:$B$504,B351)-SUMIFS($F$5:$F$504,$A$5:$A$504,A351,$B$5:$B$504,B351))</f>
        <v/>
      </c>
      <c r="H351" s="33" t="str">
        <f aca="false">IF(OR(B351="",AND(A351=A350 ,B351=B350)),"",SUMIFS($F$5:$F$504,$A$5:$A$504,A351,$B$5:$B$504,B351))</f>
        <v/>
      </c>
      <c r="I351" s="34"/>
      <c r="J351" s="35"/>
    </row>
    <row r="352" customFormat="false" ht="15" hidden="false" customHeight="false" outlineLevel="0" collapsed="false">
      <c r="A352" s="32"/>
      <c r="B352" s="29"/>
      <c r="C352" s="29"/>
      <c r="D352" s="25"/>
      <c r="E352" s="25"/>
      <c r="F352" s="25"/>
      <c r="G352" s="33" t="str">
        <f aca="false">IF(OR(B352="",AND(A352=A351 ,B352=B351)),"",SUMIFS($D$5:$D$504,$A$5:$A$504,A352,$B$5:$B$504,B352)+SUMIFS($E$5:$E$504,$A$5:$A$504,A352,$B$5:$B$504,B352)-SUMIFS($F$5:$F$504,$A$5:$A$504,A352,$B$5:$B$504,B352))</f>
        <v/>
      </c>
      <c r="H352" s="33" t="str">
        <f aca="false">IF(OR(B352="",AND(A352=A351 ,B352=B351)),"",SUMIFS($F$5:$F$504,$A$5:$A$504,A352,$B$5:$B$504,B352))</f>
        <v/>
      </c>
      <c r="I352" s="34"/>
      <c r="J352" s="35"/>
    </row>
    <row r="353" customFormat="false" ht="15" hidden="false" customHeight="false" outlineLevel="0" collapsed="false">
      <c r="A353" s="32"/>
      <c r="B353" s="29"/>
      <c r="C353" s="29"/>
      <c r="D353" s="25"/>
      <c r="E353" s="25"/>
      <c r="F353" s="25"/>
      <c r="G353" s="33" t="str">
        <f aca="false">IF(OR(B353="",AND(A353=A352 ,B353=B352)),"",SUMIFS($D$5:$D$504,$A$5:$A$504,A353,$B$5:$B$504,B353)+SUMIFS($E$5:$E$504,$A$5:$A$504,A353,$B$5:$B$504,B353)-SUMIFS($F$5:$F$504,$A$5:$A$504,A353,$B$5:$B$504,B353))</f>
        <v/>
      </c>
      <c r="H353" s="33" t="str">
        <f aca="false">IF(OR(B353="",AND(A353=A352 ,B353=B352)),"",SUMIFS($F$5:$F$504,$A$5:$A$504,A353,$B$5:$B$504,B353))</f>
        <v/>
      </c>
      <c r="I353" s="34"/>
      <c r="J353" s="35"/>
    </row>
    <row r="354" customFormat="false" ht="15" hidden="false" customHeight="false" outlineLevel="0" collapsed="false">
      <c r="A354" s="32"/>
      <c r="B354" s="29"/>
      <c r="C354" s="29"/>
      <c r="D354" s="25"/>
      <c r="E354" s="25"/>
      <c r="F354" s="25"/>
      <c r="G354" s="33" t="str">
        <f aca="false">IF(OR(B354="",AND(A354=A353 ,B354=B353)),"",SUMIFS($D$5:$D$504,$A$5:$A$504,A354,$B$5:$B$504,B354)+SUMIFS($E$5:$E$504,$A$5:$A$504,A354,$B$5:$B$504,B354)-SUMIFS($F$5:$F$504,$A$5:$A$504,A354,$B$5:$B$504,B354))</f>
        <v/>
      </c>
      <c r="H354" s="33" t="str">
        <f aca="false">IF(OR(B354="",AND(A354=A353 ,B354=B353)),"",SUMIFS($F$5:$F$504,$A$5:$A$504,A354,$B$5:$B$504,B354))</f>
        <v/>
      </c>
      <c r="I354" s="34"/>
      <c r="J354" s="35"/>
    </row>
    <row r="355" customFormat="false" ht="15" hidden="false" customHeight="false" outlineLevel="0" collapsed="false">
      <c r="A355" s="32"/>
      <c r="B355" s="29"/>
      <c r="C355" s="29"/>
      <c r="D355" s="25"/>
      <c r="E355" s="25"/>
      <c r="F355" s="25"/>
      <c r="G355" s="33" t="str">
        <f aca="false">IF(OR(B355="",AND(A355=A354 ,B355=B354)),"",SUMIFS($D$5:$D$504,$A$5:$A$504,A355,$B$5:$B$504,B355)+SUMIFS($E$5:$E$504,$A$5:$A$504,A355,$B$5:$B$504,B355)-SUMIFS($F$5:$F$504,$A$5:$A$504,A355,$B$5:$B$504,B355))</f>
        <v/>
      </c>
      <c r="H355" s="33" t="str">
        <f aca="false">IF(OR(B355="",AND(A355=A354 ,B355=B354)),"",SUMIFS($F$5:$F$504,$A$5:$A$504,A355,$B$5:$B$504,B355))</f>
        <v/>
      </c>
      <c r="I355" s="34"/>
      <c r="J355" s="35"/>
    </row>
    <row r="356" customFormat="false" ht="15" hidden="false" customHeight="false" outlineLevel="0" collapsed="false">
      <c r="A356" s="32"/>
      <c r="B356" s="29"/>
      <c r="C356" s="29"/>
      <c r="D356" s="25"/>
      <c r="E356" s="25"/>
      <c r="F356" s="25"/>
      <c r="G356" s="33" t="str">
        <f aca="false">IF(OR(B356="",AND(A356=A355 ,B356=B355)),"",SUMIFS($D$5:$D$504,$A$5:$A$504,A356,$B$5:$B$504,B356)+SUMIFS($E$5:$E$504,$A$5:$A$504,A356,$B$5:$B$504,B356)-SUMIFS($F$5:$F$504,$A$5:$A$504,A356,$B$5:$B$504,B356))</f>
        <v/>
      </c>
      <c r="H356" s="33" t="str">
        <f aca="false">IF(OR(B356="",AND(A356=A355 ,B356=B355)),"",SUMIFS($F$5:$F$504,$A$5:$A$504,A356,$B$5:$B$504,B356))</f>
        <v/>
      </c>
      <c r="I356" s="34"/>
      <c r="J356" s="35"/>
    </row>
    <row r="357" customFormat="false" ht="15" hidden="false" customHeight="false" outlineLevel="0" collapsed="false">
      <c r="A357" s="32"/>
      <c r="B357" s="29"/>
      <c r="C357" s="29"/>
      <c r="D357" s="25"/>
      <c r="E357" s="25"/>
      <c r="F357" s="25"/>
      <c r="G357" s="33" t="str">
        <f aca="false">IF(OR(B357="",AND(A357=A356 ,B357=B356)),"",SUMIFS($D$5:$D$504,$A$5:$A$504,A357,$B$5:$B$504,B357)+SUMIFS($E$5:$E$504,$A$5:$A$504,A357,$B$5:$B$504,B357)-SUMIFS($F$5:$F$504,$A$5:$A$504,A357,$B$5:$B$504,B357))</f>
        <v/>
      </c>
      <c r="H357" s="33" t="str">
        <f aca="false">IF(OR(B357="",AND(A357=A356 ,B357=B356)),"",SUMIFS($F$5:$F$504,$A$5:$A$504,A357,$B$5:$B$504,B357))</f>
        <v/>
      </c>
      <c r="I357" s="34"/>
      <c r="J357" s="35"/>
    </row>
    <row r="358" customFormat="false" ht="15" hidden="false" customHeight="false" outlineLevel="0" collapsed="false">
      <c r="A358" s="32"/>
      <c r="B358" s="29"/>
      <c r="C358" s="29"/>
      <c r="D358" s="25"/>
      <c r="E358" s="25"/>
      <c r="F358" s="25"/>
      <c r="G358" s="33" t="str">
        <f aca="false">IF(OR(B358="",AND(A358=A357 ,B358=B357)),"",SUMIFS($D$5:$D$504,$A$5:$A$504,A358,$B$5:$B$504,B358)+SUMIFS($E$5:$E$504,$A$5:$A$504,A358,$B$5:$B$504,B358)-SUMIFS($F$5:$F$504,$A$5:$A$504,A358,$B$5:$B$504,B358))</f>
        <v/>
      </c>
      <c r="H358" s="33" t="str">
        <f aca="false">IF(OR(B358="",AND(A358=A357 ,B358=B357)),"",SUMIFS($F$5:$F$504,$A$5:$A$504,A358,$B$5:$B$504,B358))</f>
        <v/>
      </c>
      <c r="I358" s="34"/>
      <c r="J358" s="35"/>
    </row>
    <row r="359" customFormat="false" ht="15" hidden="false" customHeight="false" outlineLevel="0" collapsed="false">
      <c r="A359" s="32"/>
      <c r="B359" s="29"/>
      <c r="C359" s="29"/>
      <c r="D359" s="25"/>
      <c r="E359" s="25"/>
      <c r="F359" s="25"/>
      <c r="G359" s="33" t="str">
        <f aca="false">IF(OR(B359="",AND(A359=A358 ,B359=B358)),"",SUMIFS($D$5:$D$504,$A$5:$A$504,A359,$B$5:$B$504,B359)+SUMIFS($E$5:$E$504,$A$5:$A$504,A359,$B$5:$B$504,B359)-SUMIFS($F$5:$F$504,$A$5:$A$504,A359,$B$5:$B$504,B359))</f>
        <v/>
      </c>
      <c r="H359" s="33" t="str">
        <f aca="false">IF(OR(B359="",AND(A359=A358 ,B359=B358)),"",SUMIFS($F$5:$F$504,$A$5:$A$504,A359,$B$5:$B$504,B359))</f>
        <v/>
      </c>
      <c r="I359" s="34"/>
      <c r="J359" s="35"/>
    </row>
    <row r="360" customFormat="false" ht="15" hidden="false" customHeight="false" outlineLevel="0" collapsed="false">
      <c r="A360" s="32"/>
      <c r="B360" s="29"/>
      <c r="C360" s="29"/>
      <c r="D360" s="25"/>
      <c r="E360" s="25"/>
      <c r="F360" s="25"/>
      <c r="G360" s="33" t="str">
        <f aca="false">IF(OR(B360="",AND(A360=A359 ,B360=B359)),"",SUMIFS($D$5:$D$504,$A$5:$A$504,A360,$B$5:$B$504,B360)+SUMIFS($E$5:$E$504,$A$5:$A$504,A360,$B$5:$B$504,B360)-SUMIFS($F$5:$F$504,$A$5:$A$504,A360,$B$5:$B$504,B360))</f>
        <v/>
      </c>
      <c r="H360" s="33" t="str">
        <f aca="false">IF(OR(B360="",AND(A360=A359 ,B360=B359)),"",SUMIFS($F$5:$F$504,$A$5:$A$504,A360,$B$5:$B$504,B360))</f>
        <v/>
      </c>
      <c r="I360" s="34"/>
      <c r="J360" s="35"/>
    </row>
    <row r="361" customFormat="false" ht="15" hidden="false" customHeight="false" outlineLevel="0" collapsed="false">
      <c r="A361" s="32"/>
      <c r="B361" s="29"/>
      <c r="C361" s="29"/>
      <c r="D361" s="25"/>
      <c r="E361" s="25"/>
      <c r="F361" s="25"/>
      <c r="G361" s="33" t="str">
        <f aca="false">IF(OR(B361="",AND(A361=A360 ,B361=B360)),"",SUMIFS($D$5:$D$504,$A$5:$A$504,A361,$B$5:$B$504,B361)+SUMIFS($E$5:$E$504,$A$5:$A$504,A361,$B$5:$B$504,B361)-SUMIFS($F$5:$F$504,$A$5:$A$504,A361,$B$5:$B$504,B361))</f>
        <v/>
      </c>
      <c r="H361" s="33" t="str">
        <f aca="false">IF(OR(B361="",AND(A361=A360 ,B361=B360)),"",SUMIFS($F$5:$F$504,$A$5:$A$504,A361,$B$5:$B$504,B361))</f>
        <v/>
      </c>
      <c r="I361" s="34"/>
      <c r="J361" s="35"/>
    </row>
    <row r="362" customFormat="false" ht="15" hidden="false" customHeight="false" outlineLevel="0" collapsed="false">
      <c r="A362" s="32"/>
      <c r="B362" s="29"/>
      <c r="C362" s="29"/>
      <c r="D362" s="25"/>
      <c r="E362" s="25"/>
      <c r="F362" s="25"/>
      <c r="G362" s="33" t="str">
        <f aca="false">IF(OR(B362="",AND(A362=A361 ,B362=B361)),"",SUMIFS($D$5:$D$504,$A$5:$A$504,A362,$B$5:$B$504,B362)+SUMIFS($E$5:$E$504,$A$5:$A$504,A362,$B$5:$B$504,B362)-SUMIFS($F$5:$F$504,$A$5:$A$504,A362,$B$5:$B$504,B362))</f>
        <v/>
      </c>
      <c r="H362" s="33" t="str">
        <f aca="false">IF(OR(B362="",AND(A362=A361 ,B362=B361)),"",SUMIFS($F$5:$F$504,$A$5:$A$504,A362,$B$5:$B$504,B362))</f>
        <v/>
      </c>
      <c r="I362" s="34"/>
      <c r="J362" s="35"/>
    </row>
    <row r="363" customFormat="false" ht="15" hidden="false" customHeight="false" outlineLevel="0" collapsed="false">
      <c r="A363" s="32"/>
      <c r="B363" s="29"/>
      <c r="C363" s="29"/>
      <c r="D363" s="25"/>
      <c r="E363" s="25"/>
      <c r="F363" s="25"/>
      <c r="G363" s="33" t="str">
        <f aca="false">IF(OR(B363="",AND(A363=A362 ,B363=B362)),"",SUMIFS($D$5:$D$504,$A$5:$A$504,A363,$B$5:$B$504,B363)+SUMIFS($E$5:$E$504,$A$5:$A$504,A363,$B$5:$B$504,B363)-SUMIFS($F$5:$F$504,$A$5:$A$504,A363,$B$5:$B$504,B363))</f>
        <v/>
      </c>
      <c r="H363" s="33" t="str">
        <f aca="false">IF(OR(B363="",AND(A363=A362 ,B363=B362)),"",SUMIFS($F$5:$F$504,$A$5:$A$504,A363,$B$5:$B$504,B363))</f>
        <v/>
      </c>
      <c r="I363" s="34"/>
      <c r="J363" s="35"/>
    </row>
    <row r="364" customFormat="false" ht="15" hidden="false" customHeight="false" outlineLevel="0" collapsed="false">
      <c r="A364" s="32"/>
      <c r="B364" s="29"/>
      <c r="C364" s="29"/>
      <c r="D364" s="25"/>
      <c r="E364" s="25"/>
      <c r="F364" s="25"/>
      <c r="G364" s="33" t="str">
        <f aca="false">IF(OR(B364="",AND(A364=A363 ,B364=B363)),"",SUMIFS($D$5:$D$504,$A$5:$A$504,A364,$B$5:$B$504,B364)+SUMIFS($E$5:$E$504,$A$5:$A$504,A364,$B$5:$B$504,B364)-SUMIFS($F$5:$F$504,$A$5:$A$504,A364,$B$5:$B$504,B364))</f>
        <v/>
      </c>
      <c r="H364" s="33" t="str">
        <f aca="false">IF(OR(B364="",AND(A364=A363 ,B364=B363)),"",SUMIFS($F$5:$F$504,$A$5:$A$504,A364,$B$5:$B$504,B364))</f>
        <v/>
      </c>
      <c r="I364" s="34"/>
      <c r="J364" s="35"/>
    </row>
    <row r="365" customFormat="false" ht="15" hidden="false" customHeight="false" outlineLevel="0" collapsed="false">
      <c r="A365" s="32"/>
      <c r="B365" s="29"/>
      <c r="C365" s="29"/>
      <c r="D365" s="25"/>
      <c r="E365" s="25"/>
      <c r="F365" s="25"/>
      <c r="G365" s="33" t="str">
        <f aca="false">IF(OR(B365="",AND(A365=A364 ,B365=B364)),"",SUMIFS($D$5:$D$504,$A$5:$A$504,A365,$B$5:$B$504,B365)+SUMIFS($E$5:$E$504,$A$5:$A$504,A365,$B$5:$B$504,B365)-SUMIFS($F$5:$F$504,$A$5:$A$504,A365,$B$5:$B$504,B365))</f>
        <v/>
      </c>
      <c r="H365" s="33" t="str">
        <f aca="false">IF(OR(B365="",AND(A365=A364 ,B365=B364)),"",SUMIFS($F$5:$F$504,$A$5:$A$504,A365,$B$5:$B$504,B365))</f>
        <v/>
      </c>
      <c r="I365" s="34"/>
      <c r="J365" s="35"/>
    </row>
    <row r="366" customFormat="false" ht="15" hidden="false" customHeight="false" outlineLevel="0" collapsed="false">
      <c r="A366" s="32"/>
      <c r="B366" s="29"/>
      <c r="C366" s="29"/>
      <c r="D366" s="25"/>
      <c r="E366" s="25"/>
      <c r="F366" s="25"/>
      <c r="G366" s="33" t="str">
        <f aca="false">IF(OR(B366="",AND(A366=A365 ,B366=B365)),"",SUMIFS($D$5:$D$504,$A$5:$A$504,A366,$B$5:$B$504,B366)+SUMIFS($E$5:$E$504,$A$5:$A$504,A366,$B$5:$B$504,B366)-SUMIFS($F$5:$F$504,$A$5:$A$504,A366,$B$5:$B$504,B366))</f>
        <v/>
      </c>
      <c r="H366" s="33" t="str">
        <f aca="false">IF(OR(B366="",AND(A366=A365 ,B366=B365)),"",SUMIFS($F$5:$F$504,$A$5:$A$504,A366,$B$5:$B$504,B366))</f>
        <v/>
      </c>
      <c r="I366" s="34"/>
      <c r="J366" s="35"/>
    </row>
    <row r="367" customFormat="false" ht="15" hidden="false" customHeight="false" outlineLevel="0" collapsed="false">
      <c r="A367" s="32"/>
      <c r="B367" s="29"/>
      <c r="C367" s="29"/>
      <c r="D367" s="25"/>
      <c r="E367" s="25"/>
      <c r="F367" s="25"/>
      <c r="G367" s="33" t="str">
        <f aca="false">IF(OR(B367="",AND(A367=A366 ,B367=B366)),"",SUMIFS($D$5:$D$504,$A$5:$A$504,A367,$B$5:$B$504,B367)+SUMIFS($E$5:$E$504,$A$5:$A$504,A367,$B$5:$B$504,B367)-SUMIFS($F$5:$F$504,$A$5:$A$504,A367,$B$5:$B$504,B367))</f>
        <v/>
      </c>
      <c r="H367" s="33" t="str">
        <f aca="false">IF(OR(B367="",AND(A367=A366 ,B367=B366)),"",SUMIFS($F$5:$F$504,$A$5:$A$504,A367,$B$5:$B$504,B367))</f>
        <v/>
      </c>
      <c r="I367" s="34"/>
      <c r="J367" s="35"/>
    </row>
    <row r="368" customFormat="false" ht="15" hidden="false" customHeight="false" outlineLevel="0" collapsed="false">
      <c r="A368" s="32"/>
      <c r="B368" s="29"/>
      <c r="C368" s="29"/>
      <c r="D368" s="25"/>
      <c r="E368" s="25"/>
      <c r="F368" s="25"/>
      <c r="G368" s="33" t="str">
        <f aca="false">IF(OR(B368="",AND(A368=A367 ,B368=B367)),"",SUMIFS($D$5:$D$504,$A$5:$A$504,A368,$B$5:$B$504,B368)+SUMIFS($E$5:$E$504,$A$5:$A$504,A368,$B$5:$B$504,B368)-SUMIFS($F$5:$F$504,$A$5:$A$504,A368,$B$5:$B$504,B368))</f>
        <v/>
      </c>
      <c r="H368" s="33" t="str">
        <f aca="false">IF(OR(B368="",AND(A368=A367 ,B368=B367)),"",SUMIFS($F$5:$F$504,$A$5:$A$504,A368,$B$5:$B$504,B368))</f>
        <v/>
      </c>
      <c r="I368" s="34"/>
      <c r="J368" s="35"/>
    </row>
    <row r="369" customFormat="false" ht="15" hidden="false" customHeight="false" outlineLevel="0" collapsed="false">
      <c r="A369" s="32"/>
      <c r="B369" s="29"/>
      <c r="C369" s="29"/>
      <c r="D369" s="25"/>
      <c r="E369" s="25"/>
      <c r="F369" s="25"/>
      <c r="G369" s="33" t="str">
        <f aca="false">IF(OR(B369="",AND(A369=A368 ,B369=B368)),"",SUMIFS($D$5:$D$504,$A$5:$A$504,A369,$B$5:$B$504,B369)+SUMIFS($E$5:$E$504,$A$5:$A$504,A369,$B$5:$B$504,B369)-SUMIFS($F$5:$F$504,$A$5:$A$504,A369,$B$5:$B$504,B369))</f>
        <v/>
      </c>
      <c r="H369" s="33" t="str">
        <f aca="false">IF(OR(B369="",AND(A369=A368 ,B369=B368)),"",SUMIFS($F$5:$F$504,$A$5:$A$504,A369,$B$5:$B$504,B369))</f>
        <v/>
      </c>
      <c r="I369" s="34"/>
      <c r="J369" s="35"/>
    </row>
    <row r="370" customFormat="false" ht="15" hidden="false" customHeight="false" outlineLevel="0" collapsed="false">
      <c r="A370" s="32"/>
      <c r="B370" s="29"/>
      <c r="C370" s="29"/>
      <c r="D370" s="25"/>
      <c r="E370" s="25"/>
      <c r="F370" s="25"/>
      <c r="G370" s="33" t="str">
        <f aca="false">IF(OR(B370="",AND(A370=A369 ,B370=B369)),"",SUMIFS($D$5:$D$504,$A$5:$A$504,A370,$B$5:$B$504,B370)+SUMIFS($E$5:$E$504,$A$5:$A$504,A370,$B$5:$B$504,B370)-SUMIFS($F$5:$F$504,$A$5:$A$504,A370,$B$5:$B$504,B370))</f>
        <v/>
      </c>
      <c r="H370" s="33" t="str">
        <f aca="false">IF(OR(B370="",AND(A370=A369 ,B370=B369)),"",SUMIFS($F$5:$F$504,$A$5:$A$504,A370,$B$5:$B$504,B370))</f>
        <v/>
      </c>
      <c r="I370" s="34"/>
      <c r="J370" s="35"/>
    </row>
    <row r="371" customFormat="false" ht="15" hidden="false" customHeight="false" outlineLevel="0" collapsed="false">
      <c r="A371" s="32"/>
      <c r="B371" s="29"/>
      <c r="C371" s="29"/>
      <c r="D371" s="25"/>
      <c r="E371" s="25"/>
      <c r="F371" s="25"/>
      <c r="G371" s="33" t="str">
        <f aca="false">IF(OR(B371="",AND(A371=A370 ,B371=B370)),"",SUMIFS($D$5:$D$504,$A$5:$A$504,A371,$B$5:$B$504,B371)+SUMIFS($E$5:$E$504,$A$5:$A$504,A371,$B$5:$B$504,B371)-SUMIFS($F$5:$F$504,$A$5:$A$504,A371,$B$5:$B$504,B371))</f>
        <v/>
      </c>
      <c r="H371" s="33" t="str">
        <f aca="false">IF(OR(B371="",AND(A371=A370 ,B371=B370)),"",SUMIFS($F$5:$F$504,$A$5:$A$504,A371,$B$5:$B$504,B371))</f>
        <v/>
      </c>
      <c r="I371" s="34"/>
      <c r="J371" s="35"/>
    </row>
    <row r="372" customFormat="false" ht="15" hidden="false" customHeight="false" outlineLevel="0" collapsed="false">
      <c r="A372" s="32"/>
      <c r="B372" s="29"/>
      <c r="C372" s="29"/>
      <c r="D372" s="25"/>
      <c r="E372" s="25"/>
      <c r="F372" s="25"/>
      <c r="G372" s="33" t="str">
        <f aca="false">IF(OR(B372="",AND(A372=A371 ,B372=B371)),"",SUMIFS($D$5:$D$504,$A$5:$A$504,A372,$B$5:$B$504,B372)+SUMIFS($E$5:$E$504,$A$5:$A$504,A372,$B$5:$B$504,B372)-SUMIFS($F$5:$F$504,$A$5:$A$504,A372,$B$5:$B$504,B372))</f>
        <v/>
      </c>
      <c r="H372" s="33" t="str">
        <f aca="false">IF(OR(B372="",AND(A372=A371 ,B372=B371)),"",SUMIFS($F$5:$F$504,$A$5:$A$504,A372,$B$5:$B$504,B372))</f>
        <v/>
      </c>
      <c r="I372" s="34"/>
      <c r="J372" s="35"/>
    </row>
    <row r="373" customFormat="false" ht="15" hidden="false" customHeight="false" outlineLevel="0" collapsed="false">
      <c r="A373" s="32"/>
      <c r="B373" s="29"/>
      <c r="C373" s="29"/>
      <c r="D373" s="25"/>
      <c r="E373" s="25"/>
      <c r="F373" s="25"/>
      <c r="G373" s="33" t="str">
        <f aca="false">IF(OR(B373="",AND(A373=A372 ,B373=B372)),"",SUMIFS($D$5:$D$504,$A$5:$A$504,A373,$B$5:$B$504,B373)+SUMIFS($E$5:$E$504,$A$5:$A$504,A373,$B$5:$B$504,B373)-SUMIFS($F$5:$F$504,$A$5:$A$504,A373,$B$5:$B$504,B373))</f>
        <v/>
      </c>
      <c r="H373" s="33" t="str">
        <f aca="false">IF(OR(B373="",AND(A373=A372 ,B373=B372)),"",SUMIFS($F$5:$F$504,$A$5:$A$504,A373,$B$5:$B$504,B373))</f>
        <v/>
      </c>
      <c r="I373" s="34"/>
      <c r="J373" s="35"/>
    </row>
    <row r="374" customFormat="false" ht="15" hidden="false" customHeight="false" outlineLevel="0" collapsed="false">
      <c r="A374" s="32"/>
      <c r="B374" s="29"/>
      <c r="C374" s="29"/>
      <c r="D374" s="25"/>
      <c r="E374" s="25"/>
      <c r="F374" s="25"/>
      <c r="G374" s="33" t="str">
        <f aca="false">IF(OR(B374="",AND(A374=A373 ,B374=B373)),"",SUMIFS($D$5:$D$504,$A$5:$A$504,A374,$B$5:$B$504,B374)+SUMIFS($E$5:$E$504,$A$5:$A$504,A374,$B$5:$B$504,B374)-SUMIFS($F$5:$F$504,$A$5:$A$504,A374,$B$5:$B$504,B374))</f>
        <v/>
      </c>
      <c r="H374" s="33" t="str">
        <f aca="false">IF(OR(B374="",AND(A374=A373 ,B374=B373)),"",SUMIFS($F$5:$F$504,$A$5:$A$504,A374,$B$5:$B$504,B374))</f>
        <v/>
      </c>
      <c r="I374" s="34"/>
      <c r="J374" s="35"/>
    </row>
    <row r="375" customFormat="false" ht="15" hidden="false" customHeight="false" outlineLevel="0" collapsed="false">
      <c r="A375" s="32"/>
      <c r="B375" s="29"/>
      <c r="C375" s="29"/>
      <c r="D375" s="25"/>
      <c r="E375" s="25"/>
      <c r="F375" s="25"/>
      <c r="G375" s="33" t="str">
        <f aca="false">IF(OR(B375="",AND(A375=A374 ,B375=B374)),"",SUMIFS($D$5:$D$504,$A$5:$A$504,A375,$B$5:$B$504,B375)+SUMIFS($E$5:$E$504,$A$5:$A$504,A375,$B$5:$B$504,B375)-SUMIFS($F$5:$F$504,$A$5:$A$504,A375,$B$5:$B$504,B375))</f>
        <v/>
      </c>
      <c r="H375" s="33" t="str">
        <f aca="false">IF(OR(B375="",AND(A375=A374 ,B375=B374)),"",SUMIFS($F$5:$F$504,$A$5:$A$504,A375,$B$5:$B$504,B375))</f>
        <v/>
      </c>
      <c r="I375" s="34"/>
      <c r="J375" s="35"/>
    </row>
    <row r="376" customFormat="false" ht="15" hidden="false" customHeight="false" outlineLevel="0" collapsed="false">
      <c r="A376" s="32"/>
      <c r="B376" s="29"/>
      <c r="C376" s="29"/>
      <c r="D376" s="25"/>
      <c r="E376" s="25"/>
      <c r="F376" s="25"/>
      <c r="G376" s="33" t="str">
        <f aca="false">IF(OR(B376="",AND(A376=A375 ,B376=B375)),"",SUMIFS($D$5:$D$504,$A$5:$A$504,A376,$B$5:$B$504,B376)+SUMIFS($E$5:$E$504,$A$5:$A$504,A376,$B$5:$B$504,B376)-SUMIFS($F$5:$F$504,$A$5:$A$504,A376,$B$5:$B$504,B376))</f>
        <v/>
      </c>
      <c r="H376" s="33" t="str">
        <f aca="false">IF(OR(B376="",AND(A376=A375 ,B376=B375)),"",SUMIFS($F$5:$F$504,$A$5:$A$504,A376,$B$5:$B$504,B376))</f>
        <v/>
      </c>
      <c r="I376" s="34"/>
      <c r="J376" s="35"/>
    </row>
    <row r="377" customFormat="false" ht="15" hidden="false" customHeight="false" outlineLevel="0" collapsed="false">
      <c r="A377" s="32"/>
      <c r="B377" s="29"/>
      <c r="C377" s="29"/>
      <c r="D377" s="25"/>
      <c r="E377" s="25"/>
      <c r="F377" s="25"/>
      <c r="G377" s="33" t="str">
        <f aca="false">IF(OR(B377="",AND(A377=A376 ,B377=B376)),"",SUMIFS($D$5:$D$504,$A$5:$A$504,A377,$B$5:$B$504,B377)+SUMIFS($E$5:$E$504,$A$5:$A$504,A377,$B$5:$B$504,B377)-SUMIFS($F$5:$F$504,$A$5:$A$504,A377,$B$5:$B$504,B377))</f>
        <v/>
      </c>
      <c r="H377" s="33" t="str">
        <f aca="false">IF(OR(B377="",AND(A377=A376 ,B377=B376)),"",SUMIFS($F$5:$F$504,$A$5:$A$504,A377,$B$5:$B$504,B377))</f>
        <v/>
      </c>
      <c r="I377" s="34"/>
      <c r="J377" s="35"/>
    </row>
    <row r="378" customFormat="false" ht="15" hidden="false" customHeight="false" outlineLevel="0" collapsed="false">
      <c r="A378" s="32"/>
      <c r="B378" s="29"/>
      <c r="C378" s="29"/>
      <c r="D378" s="25"/>
      <c r="E378" s="25"/>
      <c r="F378" s="25"/>
      <c r="G378" s="33" t="str">
        <f aca="false">IF(OR(B378="",AND(A378=A377 ,B378=B377)),"",SUMIFS($D$5:$D$504,$A$5:$A$504,A378,$B$5:$B$504,B378)+SUMIFS($E$5:$E$504,$A$5:$A$504,A378,$B$5:$B$504,B378)-SUMIFS($F$5:$F$504,$A$5:$A$504,A378,$B$5:$B$504,B378))</f>
        <v/>
      </c>
      <c r="H378" s="33" t="str">
        <f aca="false">IF(OR(B378="",AND(A378=A377 ,B378=B377)),"",SUMIFS($F$5:$F$504,$A$5:$A$504,A378,$B$5:$B$504,B378))</f>
        <v/>
      </c>
      <c r="I378" s="34"/>
      <c r="J378" s="35"/>
    </row>
    <row r="379" customFormat="false" ht="15" hidden="false" customHeight="false" outlineLevel="0" collapsed="false">
      <c r="A379" s="32"/>
      <c r="B379" s="29"/>
      <c r="C379" s="29"/>
      <c r="D379" s="25"/>
      <c r="E379" s="25"/>
      <c r="F379" s="25"/>
      <c r="G379" s="33" t="str">
        <f aca="false">IF(OR(B379="",AND(A379=A378 ,B379=B378)),"",SUMIFS($D$5:$D$504,$A$5:$A$504,A379,$B$5:$B$504,B379)+SUMIFS($E$5:$E$504,$A$5:$A$504,A379,$B$5:$B$504,B379)-SUMIFS($F$5:$F$504,$A$5:$A$504,A379,$B$5:$B$504,B379))</f>
        <v/>
      </c>
      <c r="H379" s="33" t="str">
        <f aca="false">IF(OR(B379="",AND(A379=A378 ,B379=B378)),"",SUMIFS($F$5:$F$504,$A$5:$A$504,A379,$B$5:$B$504,B379))</f>
        <v/>
      </c>
      <c r="I379" s="34"/>
      <c r="J379" s="35"/>
    </row>
    <row r="380" customFormat="false" ht="15" hidden="false" customHeight="false" outlineLevel="0" collapsed="false">
      <c r="A380" s="32"/>
      <c r="B380" s="29"/>
      <c r="C380" s="29"/>
      <c r="D380" s="25"/>
      <c r="E380" s="25"/>
      <c r="F380" s="25"/>
      <c r="G380" s="33" t="str">
        <f aca="false">IF(OR(B380="",AND(A380=A379 ,B380=B379)),"",SUMIFS($D$5:$D$504,$A$5:$A$504,A380,$B$5:$B$504,B380)+SUMIFS($E$5:$E$504,$A$5:$A$504,A380,$B$5:$B$504,B380)-SUMIFS($F$5:$F$504,$A$5:$A$504,A380,$B$5:$B$504,B380))</f>
        <v/>
      </c>
      <c r="H380" s="33" t="str">
        <f aca="false">IF(OR(B380="",AND(A380=A379 ,B380=B379)),"",SUMIFS($F$5:$F$504,$A$5:$A$504,A380,$B$5:$B$504,B380))</f>
        <v/>
      </c>
      <c r="I380" s="34"/>
      <c r="J380" s="35"/>
    </row>
    <row r="381" customFormat="false" ht="15" hidden="false" customHeight="false" outlineLevel="0" collapsed="false">
      <c r="A381" s="32"/>
      <c r="B381" s="29"/>
      <c r="C381" s="29"/>
      <c r="D381" s="25"/>
      <c r="E381" s="25"/>
      <c r="F381" s="25"/>
      <c r="G381" s="33" t="str">
        <f aca="false">IF(OR(B381="",AND(A381=A380 ,B381=B380)),"",SUMIFS($D$5:$D$504,$A$5:$A$504,A381,$B$5:$B$504,B381)+SUMIFS($E$5:$E$504,$A$5:$A$504,A381,$B$5:$B$504,B381)-SUMIFS($F$5:$F$504,$A$5:$A$504,A381,$B$5:$B$504,B381))</f>
        <v/>
      </c>
      <c r="H381" s="33" t="str">
        <f aca="false">IF(OR(B381="",AND(A381=A380 ,B381=B380)),"",SUMIFS($F$5:$F$504,$A$5:$A$504,A381,$B$5:$B$504,B381))</f>
        <v/>
      </c>
      <c r="I381" s="34"/>
      <c r="J381" s="35"/>
    </row>
    <row r="382" customFormat="false" ht="15" hidden="false" customHeight="false" outlineLevel="0" collapsed="false">
      <c r="A382" s="32"/>
      <c r="B382" s="29"/>
      <c r="C382" s="29"/>
      <c r="D382" s="25"/>
      <c r="E382" s="25"/>
      <c r="F382" s="25"/>
      <c r="G382" s="33" t="str">
        <f aca="false">IF(OR(B382="",AND(A382=A381 ,B382=B381)),"",SUMIFS($D$5:$D$504,$A$5:$A$504,A382,$B$5:$B$504,B382)+SUMIFS($E$5:$E$504,$A$5:$A$504,A382,$B$5:$B$504,B382)-SUMIFS($F$5:$F$504,$A$5:$A$504,A382,$B$5:$B$504,B382))</f>
        <v/>
      </c>
      <c r="H382" s="33" t="str">
        <f aca="false">IF(OR(B382="",AND(A382=A381 ,B382=B381)),"",SUMIFS($F$5:$F$504,$A$5:$A$504,A382,$B$5:$B$504,B382))</f>
        <v/>
      </c>
      <c r="I382" s="34"/>
      <c r="J382" s="35"/>
    </row>
    <row r="383" customFormat="false" ht="15" hidden="false" customHeight="false" outlineLevel="0" collapsed="false">
      <c r="A383" s="32"/>
      <c r="B383" s="29"/>
      <c r="C383" s="29"/>
      <c r="D383" s="25"/>
      <c r="E383" s="25"/>
      <c r="F383" s="25"/>
      <c r="G383" s="33" t="str">
        <f aca="false">IF(OR(B383="",AND(A383=A382 ,B383=B382)),"",SUMIFS($D$5:$D$504,$A$5:$A$504,A383,$B$5:$B$504,B383)+SUMIFS($E$5:$E$504,$A$5:$A$504,A383,$B$5:$B$504,B383)-SUMIFS($F$5:$F$504,$A$5:$A$504,A383,$B$5:$B$504,B383))</f>
        <v/>
      </c>
      <c r="H383" s="33" t="str">
        <f aca="false">IF(OR(B383="",AND(A383=A382 ,B383=B382)),"",SUMIFS($F$5:$F$504,$A$5:$A$504,A383,$B$5:$B$504,B383))</f>
        <v/>
      </c>
      <c r="I383" s="34"/>
      <c r="J383" s="35"/>
    </row>
    <row r="384" customFormat="false" ht="15" hidden="false" customHeight="false" outlineLevel="0" collapsed="false">
      <c r="A384" s="32"/>
      <c r="B384" s="29"/>
      <c r="C384" s="29"/>
      <c r="D384" s="25"/>
      <c r="E384" s="25"/>
      <c r="F384" s="25"/>
      <c r="G384" s="33" t="str">
        <f aca="false">IF(OR(B384="",AND(A384=A383 ,B384=B383)),"",SUMIFS($D$5:$D$504,$A$5:$A$504,A384,$B$5:$B$504,B384)+SUMIFS($E$5:$E$504,$A$5:$A$504,A384,$B$5:$B$504,B384)-SUMIFS($F$5:$F$504,$A$5:$A$504,A384,$B$5:$B$504,B384))</f>
        <v/>
      </c>
      <c r="H384" s="33" t="str">
        <f aca="false">IF(OR(B384="",AND(A384=A383 ,B384=B383)),"",SUMIFS($F$5:$F$504,$A$5:$A$504,A384,$B$5:$B$504,B384))</f>
        <v/>
      </c>
      <c r="I384" s="34"/>
      <c r="J384" s="35"/>
    </row>
    <row r="385" customFormat="false" ht="15" hidden="false" customHeight="false" outlineLevel="0" collapsed="false">
      <c r="A385" s="32"/>
      <c r="B385" s="29"/>
      <c r="C385" s="29"/>
      <c r="D385" s="25"/>
      <c r="E385" s="25"/>
      <c r="F385" s="25"/>
      <c r="G385" s="33" t="str">
        <f aca="false">IF(OR(B385="",AND(A385=A384 ,B385=B384)),"",SUMIFS($D$5:$D$504,$A$5:$A$504,A385,$B$5:$B$504,B385)+SUMIFS($E$5:$E$504,$A$5:$A$504,A385,$B$5:$B$504,B385)-SUMIFS($F$5:$F$504,$A$5:$A$504,A385,$B$5:$B$504,B385))</f>
        <v/>
      </c>
      <c r="H385" s="33" t="str">
        <f aca="false">IF(OR(B385="",AND(A385=A384 ,B385=B384)),"",SUMIFS($F$5:$F$504,$A$5:$A$504,A385,$B$5:$B$504,B385))</f>
        <v/>
      </c>
      <c r="I385" s="34"/>
      <c r="J385" s="35"/>
    </row>
    <row r="386" customFormat="false" ht="15" hidden="false" customHeight="false" outlineLevel="0" collapsed="false">
      <c r="A386" s="32"/>
      <c r="B386" s="29"/>
      <c r="C386" s="29"/>
      <c r="D386" s="25"/>
      <c r="E386" s="25"/>
      <c r="F386" s="25"/>
      <c r="G386" s="33" t="str">
        <f aca="false">IF(OR(B386="",AND(A386=A385 ,B386=B385)),"",SUMIFS($D$5:$D$504,$A$5:$A$504,A386,$B$5:$B$504,B386)+SUMIFS($E$5:$E$504,$A$5:$A$504,A386,$B$5:$B$504,B386)-SUMIFS($F$5:$F$504,$A$5:$A$504,A386,$B$5:$B$504,B386))</f>
        <v/>
      </c>
      <c r="H386" s="33" t="str">
        <f aca="false">IF(OR(B386="",AND(A386=A385 ,B386=B385)),"",SUMIFS($F$5:$F$504,$A$5:$A$504,A386,$B$5:$B$504,B386))</f>
        <v/>
      </c>
      <c r="I386" s="34"/>
      <c r="J386" s="35"/>
    </row>
    <row r="387" customFormat="false" ht="15" hidden="false" customHeight="false" outlineLevel="0" collapsed="false">
      <c r="A387" s="32"/>
      <c r="B387" s="29"/>
      <c r="C387" s="29"/>
      <c r="D387" s="25"/>
      <c r="E387" s="25"/>
      <c r="F387" s="25"/>
      <c r="G387" s="33" t="str">
        <f aca="false">IF(OR(B387="",AND(A387=A386 ,B387=B386)),"",SUMIFS($D$5:$D$504,$A$5:$A$504,A387,$B$5:$B$504,B387)+SUMIFS($E$5:$E$504,$A$5:$A$504,A387,$B$5:$B$504,B387)-SUMIFS($F$5:$F$504,$A$5:$A$504,A387,$B$5:$B$504,B387))</f>
        <v/>
      </c>
      <c r="H387" s="33" t="str">
        <f aca="false">IF(OR(B387="",AND(A387=A386 ,B387=B386)),"",SUMIFS($F$5:$F$504,$A$5:$A$504,A387,$B$5:$B$504,B387))</f>
        <v/>
      </c>
      <c r="I387" s="34"/>
      <c r="J387" s="35"/>
    </row>
    <row r="388" customFormat="false" ht="15" hidden="false" customHeight="false" outlineLevel="0" collapsed="false">
      <c r="A388" s="32"/>
      <c r="B388" s="29"/>
      <c r="C388" s="29"/>
      <c r="D388" s="25"/>
      <c r="E388" s="25"/>
      <c r="F388" s="25"/>
      <c r="G388" s="33" t="str">
        <f aca="false">IF(OR(B388="",AND(A388=A387 ,B388=B387)),"",SUMIFS($D$5:$D$504,$A$5:$A$504,A388,$B$5:$B$504,B388)+SUMIFS($E$5:$E$504,$A$5:$A$504,A388,$B$5:$B$504,B388)-SUMIFS($F$5:$F$504,$A$5:$A$504,A388,$B$5:$B$504,B388))</f>
        <v/>
      </c>
      <c r="H388" s="33" t="str">
        <f aca="false">IF(OR(B388="",AND(A388=A387 ,B388=B387)),"",SUMIFS($F$5:$F$504,$A$5:$A$504,A388,$B$5:$B$504,B388))</f>
        <v/>
      </c>
      <c r="I388" s="34"/>
      <c r="J388" s="35"/>
    </row>
    <row r="389" customFormat="false" ht="15" hidden="false" customHeight="false" outlineLevel="0" collapsed="false">
      <c r="A389" s="32"/>
      <c r="B389" s="29"/>
      <c r="C389" s="29"/>
      <c r="D389" s="25"/>
      <c r="E389" s="25"/>
      <c r="F389" s="25"/>
      <c r="G389" s="33" t="str">
        <f aca="false">IF(OR(B389="",AND(A389=A388 ,B389=B388)),"",SUMIFS($D$5:$D$504,$A$5:$A$504,A389,$B$5:$B$504,B389)+SUMIFS($E$5:$E$504,$A$5:$A$504,A389,$B$5:$B$504,B389)-SUMIFS($F$5:$F$504,$A$5:$A$504,A389,$B$5:$B$504,B389))</f>
        <v/>
      </c>
      <c r="H389" s="33" t="str">
        <f aca="false">IF(OR(B389="",AND(A389=A388 ,B389=B388)),"",SUMIFS($F$5:$F$504,$A$5:$A$504,A389,$B$5:$B$504,B389))</f>
        <v/>
      </c>
      <c r="I389" s="34"/>
      <c r="J389" s="35"/>
    </row>
    <row r="390" customFormat="false" ht="15" hidden="false" customHeight="false" outlineLevel="0" collapsed="false">
      <c r="A390" s="32"/>
      <c r="B390" s="29"/>
      <c r="C390" s="29"/>
      <c r="D390" s="25"/>
      <c r="E390" s="25"/>
      <c r="F390" s="25"/>
      <c r="G390" s="33" t="str">
        <f aca="false">IF(OR(B390="",AND(A390=A389 ,B390=B389)),"",SUMIFS($D$5:$D$504,$A$5:$A$504,A390,$B$5:$B$504,B390)+SUMIFS($E$5:$E$504,$A$5:$A$504,A390,$B$5:$B$504,B390)-SUMIFS($F$5:$F$504,$A$5:$A$504,A390,$B$5:$B$504,B390))</f>
        <v/>
      </c>
      <c r="H390" s="33" t="str">
        <f aca="false">IF(OR(B390="",AND(A390=A389 ,B390=B389)),"",SUMIFS($F$5:$F$504,$A$5:$A$504,A390,$B$5:$B$504,B390))</f>
        <v/>
      </c>
      <c r="I390" s="34"/>
      <c r="J390" s="35"/>
    </row>
    <row r="391" customFormat="false" ht="15" hidden="false" customHeight="false" outlineLevel="0" collapsed="false">
      <c r="A391" s="32"/>
      <c r="B391" s="29"/>
      <c r="C391" s="29"/>
      <c r="D391" s="25"/>
      <c r="E391" s="25"/>
      <c r="F391" s="25"/>
      <c r="G391" s="33" t="str">
        <f aca="false">IF(OR(B391="",AND(A391=A390 ,B391=B390)),"",SUMIFS($D$5:$D$504,$A$5:$A$504,A391,$B$5:$B$504,B391)+SUMIFS($E$5:$E$504,$A$5:$A$504,A391,$B$5:$B$504,B391)-SUMIFS($F$5:$F$504,$A$5:$A$504,A391,$B$5:$B$504,B391))</f>
        <v/>
      </c>
      <c r="H391" s="33" t="str">
        <f aca="false">IF(OR(B391="",AND(A391=A390 ,B391=B390)),"",SUMIFS($F$5:$F$504,$A$5:$A$504,A391,$B$5:$B$504,B391))</f>
        <v/>
      </c>
      <c r="I391" s="34"/>
      <c r="J391" s="35"/>
    </row>
    <row r="392" customFormat="false" ht="15" hidden="false" customHeight="false" outlineLevel="0" collapsed="false">
      <c r="A392" s="32"/>
      <c r="B392" s="29"/>
      <c r="C392" s="29"/>
      <c r="D392" s="25"/>
      <c r="E392" s="25"/>
      <c r="F392" s="25"/>
      <c r="G392" s="33" t="str">
        <f aca="false">IF(OR(B392="",AND(A392=A391 ,B392=B391)),"",SUMIFS($D$5:$D$504,$A$5:$A$504,A392,$B$5:$B$504,B392)+SUMIFS($E$5:$E$504,$A$5:$A$504,A392,$B$5:$B$504,B392)-SUMIFS($F$5:$F$504,$A$5:$A$504,A392,$B$5:$B$504,B392))</f>
        <v/>
      </c>
      <c r="H392" s="33" t="str">
        <f aca="false">IF(OR(B392="",AND(A392=A391 ,B392=B391)),"",SUMIFS($F$5:$F$504,$A$5:$A$504,A392,$B$5:$B$504,B392))</f>
        <v/>
      </c>
      <c r="I392" s="34"/>
      <c r="J392" s="35"/>
    </row>
    <row r="393" customFormat="false" ht="15" hidden="false" customHeight="false" outlineLevel="0" collapsed="false">
      <c r="A393" s="32"/>
      <c r="B393" s="29"/>
      <c r="C393" s="29"/>
      <c r="D393" s="25"/>
      <c r="E393" s="25"/>
      <c r="F393" s="25"/>
      <c r="G393" s="33" t="str">
        <f aca="false">IF(OR(B393="",AND(A393=A392 ,B393=B392)),"",SUMIFS($D$5:$D$504,$A$5:$A$504,A393,$B$5:$B$504,B393)+SUMIFS($E$5:$E$504,$A$5:$A$504,A393,$B$5:$B$504,B393)-SUMIFS($F$5:$F$504,$A$5:$A$504,A393,$B$5:$B$504,B393))</f>
        <v/>
      </c>
      <c r="H393" s="33" t="str">
        <f aca="false">IF(OR(B393="",AND(A393=A392 ,B393=B392)),"",SUMIFS($F$5:$F$504,$A$5:$A$504,A393,$B$5:$B$504,B393))</f>
        <v/>
      </c>
      <c r="I393" s="34"/>
      <c r="J393" s="35"/>
    </row>
    <row r="394" customFormat="false" ht="15" hidden="false" customHeight="false" outlineLevel="0" collapsed="false">
      <c r="A394" s="32"/>
      <c r="B394" s="29"/>
      <c r="C394" s="29"/>
      <c r="D394" s="25"/>
      <c r="E394" s="25"/>
      <c r="F394" s="25"/>
      <c r="G394" s="33" t="str">
        <f aca="false">IF(OR(B394="",AND(A394=A393 ,B394=B393)),"",SUMIFS($D$5:$D$504,$A$5:$A$504,A394,$B$5:$B$504,B394)+SUMIFS($E$5:$E$504,$A$5:$A$504,A394,$B$5:$B$504,B394)-SUMIFS($F$5:$F$504,$A$5:$A$504,A394,$B$5:$B$504,B394))</f>
        <v/>
      </c>
      <c r="H394" s="33" t="str">
        <f aca="false">IF(OR(B394="",AND(A394=A393 ,B394=B393)),"",SUMIFS($F$5:$F$504,$A$5:$A$504,A394,$B$5:$B$504,B394))</f>
        <v/>
      </c>
      <c r="I394" s="34"/>
      <c r="J394" s="35"/>
    </row>
    <row r="395" customFormat="false" ht="15" hidden="false" customHeight="false" outlineLevel="0" collapsed="false">
      <c r="A395" s="32"/>
      <c r="B395" s="29"/>
      <c r="C395" s="29"/>
      <c r="D395" s="25"/>
      <c r="E395" s="25"/>
      <c r="F395" s="25"/>
      <c r="G395" s="33" t="str">
        <f aca="false">IF(OR(B395="",AND(A395=A394 ,B395=B394)),"",SUMIFS($D$5:$D$504,$A$5:$A$504,A395,$B$5:$B$504,B395)+SUMIFS($E$5:$E$504,$A$5:$A$504,A395,$B$5:$B$504,B395)-SUMIFS($F$5:$F$504,$A$5:$A$504,A395,$B$5:$B$504,B395))</f>
        <v/>
      </c>
      <c r="H395" s="33" t="str">
        <f aca="false">IF(OR(B395="",AND(A395=A394 ,B395=B394)),"",SUMIFS($F$5:$F$504,$A$5:$A$504,A395,$B$5:$B$504,B395))</f>
        <v/>
      </c>
      <c r="I395" s="34"/>
      <c r="J395" s="35"/>
    </row>
    <row r="396" customFormat="false" ht="15" hidden="false" customHeight="false" outlineLevel="0" collapsed="false">
      <c r="A396" s="32"/>
      <c r="B396" s="29"/>
      <c r="C396" s="29"/>
      <c r="D396" s="25"/>
      <c r="E396" s="25"/>
      <c r="F396" s="25"/>
      <c r="G396" s="33" t="str">
        <f aca="false">IF(OR(B396="",AND(A396=A395 ,B396=B395)),"",SUMIFS($D$5:$D$504,$A$5:$A$504,A396,$B$5:$B$504,B396)+SUMIFS($E$5:$E$504,$A$5:$A$504,A396,$B$5:$B$504,B396)-SUMIFS($F$5:$F$504,$A$5:$A$504,A396,$B$5:$B$504,B396))</f>
        <v/>
      </c>
      <c r="H396" s="33" t="str">
        <f aca="false">IF(OR(B396="",AND(A396=A395 ,B396=B395)),"",SUMIFS($F$5:$F$504,$A$5:$A$504,A396,$B$5:$B$504,B396))</f>
        <v/>
      </c>
      <c r="I396" s="34"/>
      <c r="J396" s="35"/>
    </row>
    <row r="397" customFormat="false" ht="15" hidden="false" customHeight="false" outlineLevel="0" collapsed="false">
      <c r="A397" s="32"/>
      <c r="B397" s="29"/>
      <c r="C397" s="29"/>
      <c r="D397" s="25"/>
      <c r="E397" s="25"/>
      <c r="F397" s="25"/>
      <c r="G397" s="33" t="str">
        <f aca="false">IF(OR(B397="",AND(A397=A396 ,B397=B396)),"",SUMIFS($D$5:$D$504,$A$5:$A$504,A397,$B$5:$B$504,B397)+SUMIFS($E$5:$E$504,$A$5:$A$504,A397,$B$5:$B$504,B397)-SUMIFS($F$5:$F$504,$A$5:$A$504,A397,$B$5:$B$504,B397))</f>
        <v/>
      </c>
      <c r="H397" s="33" t="str">
        <f aca="false">IF(OR(B397="",AND(A397=A396 ,B397=B396)),"",SUMIFS($F$5:$F$504,$A$5:$A$504,A397,$B$5:$B$504,B397))</f>
        <v/>
      </c>
      <c r="I397" s="34"/>
      <c r="J397" s="35"/>
    </row>
    <row r="398" customFormat="false" ht="15" hidden="false" customHeight="false" outlineLevel="0" collapsed="false">
      <c r="A398" s="32"/>
      <c r="B398" s="29"/>
      <c r="C398" s="29"/>
      <c r="D398" s="25"/>
      <c r="E398" s="25"/>
      <c r="F398" s="25"/>
      <c r="G398" s="33" t="str">
        <f aca="false">IF(OR(B398="",AND(A398=A397 ,B398=B397)),"",SUMIFS($D$5:$D$504,$A$5:$A$504,A398,$B$5:$B$504,B398)+SUMIFS($E$5:$E$504,$A$5:$A$504,A398,$B$5:$B$504,B398)-SUMIFS($F$5:$F$504,$A$5:$A$504,A398,$B$5:$B$504,B398))</f>
        <v/>
      </c>
      <c r="H398" s="33" t="str">
        <f aca="false">IF(OR(B398="",AND(A398=A397 ,B398=B397)),"",SUMIFS($F$5:$F$504,$A$5:$A$504,A398,$B$5:$B$504,B398))</f>
        <v/>
      </c>
      <c r="I398" s="34"/>
      <c r="J398" s="35"/>
    </row>
    <row r="399" customFormat="false" ht="15" hidden="false" customHeight="false" outlineLevel="0" collapsed="false">
      <c r="A399" s="32"/>
      <c r="B399" s="29"/>
      <c r="C399" s="29"/>
      <c r="D399" s="25"/>
      <c r="E399" s="25"/>
      <c r="F399" s="25"/>
      <c r="G399" s="33" t="str">
        <f aca="false">IF(OR(B399="",AND(A399=A398 ,B399=B398)),"",SUMIFS($D$5:$D$504,$A$5:$A$504,A399,$B$5:$B$504,B399)+SUMIFS($E$5:$E$504,$A$5:$A$504,A399,$B$5:$B$504,B399)-SUMIFS($F$5:$F$504,$A$5:$A$504,A399,$B$5:$B$504,B399))</f>
        <v/>
      </c>
      <c r="H399" s="33" t="str">
        <f aca="false">IF(OR(B399="",AND(A399=A398 ,B399=B398)),"",SUMIFS($F$5:$F$504,$A$5:$A$504,A399,$B$5:$B$504,B399))</f>
        <v/>
      </c>
      <c r="I399" s="34"/>
      <c r="J399" s="35"/>
    </row>
    <row r="400" customFormat="false" ht="15" hidden="false" customHeight="false" outlineLevel="0" collapsed="false">
      <c r="A400" s="32"/>
      <c r="B400" s="29"/>
      <c r="C400" s="29"/>
      <c r="D400" s="25"/>
      <c r="E400" s="25"/>
      <c r="F400" s="25"/>
      <c r="G400" s="33" t="str">
        <f aca="false">IF(OR(B400="",AND(A400=A399 ,B400=B399)),"",SUMIFS($D$5:$D$504,$A$5:$A$504,A400,$B$5:$B$504,B400)+SUMIFS($E$5:$E$504,$A$5:$A$504,A400,$B$5:$B$504,B400)-SUMIFS($F$5:$F$504,$A$5:$A$504,A400,$B$5:$B$504,B400))</f>
        <v/>
      </c>
      <c r="H400" s="33" t="str">
        <f aca="false">IF(OR(B400="",AND(A400=A399 ,B400=B399)),"",SUMIFS($F$5:$F$504,$A$5:$A$504,A400,$B$5:$B$504,B400))</f>
        <v/>
      </c>
      <c r="I400" s="34"/>
      <c r="J400" s="35"/>
    </row>
    <row r="401" customFormat="false" ht="15" hidden="false" customHeight="false" outlineLevel="0" collapsed="false">
      <c r="A401" s="32"/>
      <c r="B401" s="29"/>
      <c r="C401" s="29"/>
      <c r="D401" s="25"/>
      <c r="E401" s="25"/>
      <c r="F401" s="25"/>
      <c r="G401" s="33" t="str">
        <f aca="false">IF(OR(B401="",AND(A401=A400 ,B401=B400)),"",SUMIFS($D$5:$D$504,$A$5:$A$504,A401,$B$5:$B$504,B401)+SUMIFS($E$5:$E$504,$A$5:$A$504,A401,$B$5:$B$504,B401)-SUMIFS($F$5:$F$504,$A$5:$A$504,A401,$B$5:$B$504,B401))</f>
        <v/>
      </c>
      <c r="H401" s="33" t="str">
        <f aca="false">IF(OR(B401="",AND(A401=A400 ,B401=B400)),"",SUMIFS($F$5:$F$504,$A$5:$A$504,A401,$B$5:$B$504,B401))</f>
        <v/>
      </c>
      <c r="I401" s="34"/>
      <c r="J401" s="35"/>
    </row>
    <row r="402" customFormat="false" ht="15" hidden="false" customHeight="false" outlineLevel="0" collapsed="false">
      <c r="A402" s="32"/>
      <c r="B402" s="29"/>
      <c r="C402" s="29"/>
      <c r="D402" s="25"/>
      <c r="E402" s="25"/>
      <c r="F402" s="25"/>
      <c r="G402" s="33" t="str">
        <f aca="false">IF(OR(B402="",AND(A402=A401 ,B402=B401)),"",SUMIFS($D$5:$D$504,$A$5:$A$504,A402,$B$5:$B$504,B402)+SUMIFS($E$5:$E$504,$A$5:$A$504,A402,$B$5:$B$504,B402)-SUMIFS($F$5:$F$504,$A$5:$A$504,A402,$B$5:$B$504,B402))</f>
        <v/>
      </c>
      <c r="H402" s="33" t="str">
        <f aca="false">IF(OR(B402="",AND(A402=A401 ,B402=B401)),"",SUMIFS($F$5:$F$504,$A$5:$A$504,A402,$B$5:$B$504,B402))</f>
        <v/>
      </c>
      <c r="I402" s="34"/>
      <c r="J402" s="35"/>
    </row>
    <row r="403" customFormat="false" ht="15" hidden="false" customHeight="false" outlineLevel="0" collapsed="false">
      <c r="A403" s="32"/>
      <c r="B403" s="29"/>
      <c r="C403" s="29"/>
      <c r="D403" s="25"/>
      <c r="E403" s="25"/>
      <c r="F403" s="25"/>
      <c r="G403" s="33" t="str">
        <f aca="false">IF(OR(B403="",AND(A403=A402 ,B403=B402)),"",SUMIFS($D$5:$D$504,$A$5:$A$504,A403,$B$5:$B$504,B403)+SUMIFS($E$5:$E$504,$A$5:$A$504,A403,$B$5:$B$504,B403)-SUMIFS($F$5:$F$504,$A$5:$A$504,A403,$B$5:$B$504,B403))</f>
        <v/>
      </c>
      <c r="H403" s="33" t="str">
        <f aca="false">IF(OR(B403="",AND(A403=A402 ,B403=B402)),"",SUMIFS($F$5:$F$504,$A$5:$A$504,A403,$B$5:$B$504,B403))</f>
        <v/>
      </c>
      <c r="I403" s="34"/>
      <c r="J403" s="35"/>
    </row>
    <row r="404" customFormat="false" ht="15" hidden="false" customHeight="false" outlineLevel="0" collapsed="false">
      <c r="A404" s="32"/>
      <c r="B404" s="29"/>
      <c r="C404" s="29"/>
      <c r="D404" s="25"/>
      <c r="E404" s="25"/>
      <c r="F404" s="25"/>
      <c r="G404" s="33" t="str">
        <f aca="false">IF(OR(B404="",AND(A404=A403 ,B404=B403)),"",SUMIFS($D$5:$D$504,$A$5:$A$504,A404,$B$5:$B$504,B404)+SUMIFS($E$5:$E$504,$A$5:$A$504,A404,$B$5:$B$504,B404)-SUMIFS($F$5:$F$504,$A$5:$A$504,A404,$B$5:$B$504,B404))</f>
        <v/>
      </c>
      <c r="H404" s="33" t="str">
        <f aca="false">IF(OR(B404="",AND(A404=A403 ,B404=B403)),"",SUMIFS($F$5:$F$504,$A$5:$A$504,A404,$B$5:$B$504,B404))</f>
        <v/>
      </c>
      <c r="I404" s="34"/>
      <c r="J404" s="35"/>
    </row>
    <row r="405" customFormat="false" ht="15" hidden="false" customHeight="false" outlineLevel="0" collapsed="false">
      <c r="A405" s="32"/>
      <c r="B405" s="29"/>
      <c r="C405" s="29"/>
      <c r="D405" s="25"/>
      <c r="E405" s="25"/>
      <c r="F405" s="25"/>
      <c r="G405" s="33" t="str">
        <f aca="false">IF(OR(B405="",AND(A405=A404 ,B405=B404)),"",SUMIFS($D$5:$D$504,$A$5:$A$504,A405,$B$5:$B$504,B405)+SUMIFS($E$5:$E$504,$A$5:$A$504,A405,$B$5:$B$504,B405)-SUMIFS($F$5:$F$504,$A$5:$A$504,A405,$B$5:$B$504,B405))</f>
        <v/>
      </c>
      <c r="H405" s="33" t="str">
        <f aca="false">IF(OR(B405="",AND(A405=A404 ,B405=B404)),"",SUMIFS($F$5:$F$504,$A$5:$A$504,A405,$B$5:$B$504,B405))</f>
        <v/>
      </c>
      <c r="I405" s="34"/>
      <c r="J405" s="35"/>
    </row>
    <row r="406" customFormat="false" ht="15" hidden="false" customHeight="false" outlineLevel="0" collapsed="false">
      <c r="A406" s="32"/>
      <c r="B406" s="29"/>
      <c r="C406" s="29"/>
      <c r="D406" s="25"/>
      <c r="E406" s="25"/>
      <c r="F406" s="25"/>
      <c r="G406" s="33" t="str">
        <f aca="false">IF(OR(B406="",AND(A406=A405 ,B406=B405)),"",SUMIFS($D$5:$D$504,$A$5:$A$504,A406,$B$5:$B$504,B406)+SUMIFS($E$5:$E$504,$A$5:$A$504,A406,$B$5:$B$504,B406)-SUMIFS($F$5:$F$504,$A$5:$A$504,A406,$B$5:$B$504,B406))</f>
        <v/>
      </c>
      <c r="H406" s="33" t="str">
        <f aca="false">IF(OR(B406="",AND(A406=A405 ,B406=B405)),"",SUMIFS($F$5:$F$504,$A$5:$A$504,A406,$B$5:$B$504,B406))</f>
        <v/>
      </c>
      <c r="I406" s="34"/>
      <c r="J406" s="35"/>
    </row>
    <row r="407" customFormat="false" ht="15" hidden="false" customHeight="false" outlineLevel="0" collapsed="false">
      <c r="A407" s="32"/>
      <c r="B407" s="29"/>
      <c r="C407" s="29"/>
      <c r="D407" s="25"/>
      <c r="E407" s="25"/>
      <c r="F407" s="25"/>
      <c r="G407" s="33" t="str">
        <f aca="false">IF(OR(B407="",AND(A407=A406 ,B407=B406)),"",SUMIFS($D$5:$D$504,$A$5:$A$504,A407,$B$5:$B$504,B407)+SUMIFS($E$5:$E$504,$A$5:$A$504,A407,$B$5:$B$504,B407)-SUMIFS($F$5:$F$504,$A$5:$A$504,A407,$B$5:$B$504,B407))</f>
        <v/>
      </c>
      <c r="H407" s="33" t="str">
        <f aca="false">IF(OR(B407="",AND(A407=A406 ,B407=B406)),"",SUMIFS($F$5:$F$504,$A$5:$A$504,A407,$B$5:$B$504,B407))</f>
        <v/>
      </c>
      <c r="I407" s="34"/>
      <c r="J407" s="35"/>
    </row>
    <row r="408" customFormat="false" ht="15" hidden="false" customHeight="false" outlineLevel="0" collapsed="false">
      <c r="A408" s="32"/>
      <c r="B408" s="29"/>
      <c r="C408" s="29"/>
      <c r="D408" s="25"/>
      <c r="E408" s="25"/>
      <c r="F408" s="25"/>
      <c r="G408" s="33" t="str">
        <f aca="false">IF(OR(B408="",AND(A408=A407 ,B408=B407)),"",SUMIFS($D$5:$D$504,$A$5:$A$504,A408,$B$5:$B$504,B408)+SUMIFS($E$5:$E$504,$A$5:$A$504,A408,$B$5:$B$504,B408)-SUMIFS($F$5:$F$504,$A$5:$A$504,A408,$B$5:$B$504,B408))</f>
        <v/>
      </c>
      <c r="H408" s="33" t="str">
        <f aca="false">IF(OR(B408="",AND(A408=A407 ,B408=B407)),"",SUMIFS($F$5:$F$504,$A$5:$A$504,A408,$B$5:$B$504,B408))</f>
        <v/>
      </c>
      <c r="I408" s="34"/>
      <c r="J408" s="35"/>
    </row>
    <row r="409" customFormat="false" ht="15" hidden="false" customHeight="false" outlineLevel="0" collapsed="false">
      <c r="A409" s="32"/>
      <c r="B409" s="29"/>
      <c r="C409" s="29"/>
      <c r="D409" s="25"/>
      <c r="E409" s="25"/>
      <c r="F409" s="25"/>
      <c r="G409" s="33" t="str">
        <f aca="false">IF(OR(B409="",AND(A409=A408 ,B409=B408)),"",SUMIFS($D$5:$D$504,$A$5:$A$504,A409,$B$5:$B$504,B409)+SUMIFS($E$5:$E$504,$A$5:$A$504,A409,$B$5:$B$504,B409)-SUMIFS($F$5:$F$504,$A$5:$A$504,A409,$B$5:$B$504,B409))</f>
        <v/>
      </c>
      <c r="H409" s="33" t="str">
        <f aca="false">IF(OR(B409="",AND(A409=A408 ,B409=B408)),"",SUMIFS($F$5:$F$504,$A$5:$A$504,A409,$B$5:$B$504,B409))</f>
        <v/>
      </c>
      <c r="I409" s="34"/>
      <c r="J409" s="35"/>
    </row>
    <row r="410" customFormat="false" ht="15" hidden="false" customHeight="false" outlineLevel="0" collapsed="false">
      <c r="A410" s="32"/>
      <c r="B410" s="29"/>
      <c r="C410" s="29"/>
      <c r="D410" s="25"/>
      <c r="E410" s="25"/>
      <c r="F410" s="25"/>
      <c r="G410" s="33" t="str">
        <f aca="false">IF(OR(B410="",AND(A410=A409 ,B410=B409)),"",SUMIFS($D$5:$D$504,$A$5:$A$504,A410,$B$5:$B$504,B410)+SUMIFS($E$5:$E$504,$A$5:$A$504,A410,$B$5:$B$504,B410)-SUMIFS($F$5:$F$504,$A$5:$A$504,A410,$B$5:$B$504,B410))</f>
        <v/>
      </c>
      <c r="H410" s="33" t="str">
        <f aca="false">IF(OR(B410="",AND(A410=A409 ,B410=B409)),"",SUMIFS($F$5:$F$504,$A$5:$A$504,A410,$B$5:$B$504,B410))</f>
        <v/>
      </c>
      <c r="I410" s="34"/>
      <c r="J410" s="35"/>
    </row>
    <row r="411" customFormat="false" ht="15" hidden="false" customHeight="false" outlineLevel="0" collapsed="false">
      <c r="A411" s="32"/>
      <c r="B411" s="29"/>
      <c r="C411" s="29"/>
      <c r="D411" s="25"/>
      <c r="E411" s="25"/>
      <c r="F411" s="25"/>
      <c r="G411" s="33" t="str">
        <f aca="false">IF(OR(B411="",AND(A411=A410 ,B411=B410)),"",SUMIFS($D$5:$D$504,$A$5:$A$504,A411,$B$5:$B$504,B411)+SUMIFS($E$5:$E$504,$A$5:$A$504,A411,$B$5:$B$504,B411)-SUMIFS($F$5:$F$504,$A$5:$A$504,A411,$B$5:$B$504,B411))</f>
        <v/>
      </c>
      <c r="H411" s="33" t="str">
        <f aca="false">IF(OR(B411="",AND(A411=A410 ,B411=B410)),"",SUMIFS($F$5:$F$504,$A$5:$A$504,A411,$B$5:$B$504,B411))</f>
        <v/>
      </c>
      <c r="I411" s="34"/>
      <c r="J411" s="35"/>
    </row>
    <row r="412" customFormat="false" ht="15" hidden="false" customHeight="false" outlineLevel="0" collapsed="false">
      <c r="A412" s="32"/>
      <c r="B412" s="29"/>
      <c r="C412" s="29"/>
      <c r="D412" s="25"/>
      <c r="E412" s="25"/>
      <c r="F412" s="25"/>
      <c r="G412" s="33" t="str">
        <f aca="false">IF(OR(B412="",AND(A412=A411 ,B412=B411)),"",SUMIFS($D$5:$D$504,$A$5:$A$504,A412,$B$5:$B$504,B412)+SUMIFS($E$5:$E$504,$A$5:$A$504,A412,$B$5:$B$504,B412)-SUMIFS($F$5:$F$504,$A$5:$A$504,A412,$B$5:$B$504,B412))</f>
        <v/>
      </c>
      <c r="H412" s="33" t="str">
        <f aca="false">IF(OR(B412="",AND(A412=A411 ,B412=B411)),"",SUMIFS($F$5:$F$504,$A$5:$A$504,A412,$B$5:$B$504,B412))</f>
        <v/>
      </c>
      <c r="I412" s="34"/>
      <c r="J412" s="35"/>
    </row>
    <row r="413" customFormat="false" ht="15" hidden="false" customHeight="false" outlineLevel="0" collapsed="false">
      <c r="A413" s="32"/>
      <c r="B413" s="29"/>
      <c r="C413" s="29"/>
      <c r="D413" s="25"/>
      <c r="E413" s="25"/>
      <c r="F413" s="25"/>
      <c r="G413" s="33" t="str">
        <f aca="false">IF(OR(B413="",AND(A413=A412 ,B413=B412)),"",SUMIFS($D$5:$D$504,$A$5:$A$504,A413,$B$5:$B$504,B413)+SUMIFS($E$5:$E$504,$A$5:$A$504,A413,$B$5:$B$504,B413)-SUMIFS($F$5:$F$504,$A$5:$A$504,A413,$B$5:$B$504,B413))</f>
        <v/>
      </c>
      <c r="H413" s="33" t="str">
        <f aca="false">IF(OR(B413="",AND(A413=A412 ,B413=B412)),"",SUMIFS($F$5:$F$504,$A$5:$A$504,A413,$B$5:$B$504,B413))</f>
        <v/>
      </c>
      <c r="I413" s="34"/>
      <c r="J413" s="35"/>
    </row>
    <row r="414" customFormat="false" ht="15" hidden="false" customHeight="false" outlineLevel="0" collapsed="false">
      <c r="A414" s="32"/>
      <c r="B414" s="29"/>
      <c r="C414" s="29"/>
      <c r="D414" s="25"/>
      <c r="E414" s="25"/>
      <c r="F414" s="25"/>
      <c r="G414" s="33" t="str">
        <f aca="false">IF(OR(B414="",AND(A414=A413 ,B414=B413)),"",SUMIFS($D$5:$D$504,$A$5:$A$504,A414,$B$5:$B$504,B414)+SUMIFS($E$5:$E$504,$A$5:$A$504,A414,$B$5:$B$504,B414)-SUMIFS($F$5:$F$504,$A$5:$A$504,A414,$B$5:$B$504,B414))</f>
        <v/>
      </c>
      <c r="H414" s="33" t="str">
        <f aca="false">IF(OR(B414="",AND(A414=A413 ,B414=B413)),"",SUMIFS($F$5:$F$504,$A$5:$A$504,A414,$B$5:$B$504,B414))</f>
        <v/>
      </c>
      <c r="I414" s="34"/>
      <c r="J414" s="35"/>
    </row>
    <row r="415" customFormat="false" ht="15" hidden="false" customHeight="false" outlineLevel="0" collapsed="false">
      <c r="A415" s="32"/>
      <c r="B415" s="29"/>
      <c r="C415" s="29"/>
      <c r="D415" s="25"/>
      <c r="E415" s="25"/>
      <c r="F415" s="25"/>
      <c r="G415" s="33" t="str">
        <f aca="false">IF(OR(B415="",AND(A415=A414 ,B415=B414)),"",SUMIFS($D$5:$D$504,$A$5:$A$504,A415,$B$5:$B$504,B415)+SUMIFS($E$5:$E$504,$A$5:$A$504,A415,$B$5:$B$504,B415)-SUMIFS($F$5:$F$504,$A$5:$A$504,A415,$B$5:$B$504,B415))</f>
        <v/>
      </c>
      <c r="H415" s="33" t="str">
        <f aca="false">IF(OR(B415="",AND(A415=A414 ,B415=B414)),"",SUMIFS($F$5:$F$504,$A$5:$A$504,A415,$B$5:$B$504,B415))</f>
        <v/>
      </c>
      <c r="I415" s="34"/>
      <c r="J415" s="35"/>
    </row>
    <row r="416" customFormat="false" ht="15" hidden="false" customHeight="false" outlineLevel="0" collapsed="false">
      <c r="A416" s="32"/>
      <c r="B416" s="29"/>
      <c r="C416" s="29"/>
      <c r="D416" s="25"/>
      <c r="E416" s="25"/>
      <c r="F416" s="25"/>
      <c r="G416" s="33" t="str">
        <f aca="false">IF(OR(B416="",AND(A416=A415 ,B416=B415)),"",SUMIFS($D$5:$D$504,$A$5:$A$504,A416,$B$5:$B$504,B416)+SUMIFS($E$5:$E$504,$A$5:$A$504,A416,$B$5:$B$504,B416)-SUMIFS($F$5:$F$504,$A$5:$A$504,A416,$B$5:$B$504,B416))</f>
        <v/>
      </c>
      <c r="H416" s="33" t="str">
        <f aca="false">IF(OR(B416="",AND(A416=A415 ,B416=B415)),"",SUMIFS($F$5:$F$504,$A$5:$A$504,A416,$B$5:$B$504,B416))</f>
        <v/>
      </c>
      <c r="I416" s="34"/>
      <c r="J416" s="35"/>
    </row>
    <row r="417" customFormat="false" ht="15" hidden="false" customHeight="false" outlineLevel="0" collapsed="false">
      <c r="A417" s="32"/>
      <c r="B417" s="29"/>
      <c r="C417" s="29"/>
      <c r="D417" s="25"/>
      <c r="E417" s="25"/>
      <c r="F417" s="25"/>
      <c r="G417" s="33" t="str">
        <f aca="false">IF(OR(B417="",AND(A417=A416 ,B417=B416)),"",SUMIFS($D$5:$D$504,$A$5:$A$504,A417,$B$5:$B$504,B417)+SUMIFS($E$5:$E$504,$A$5:$A$504,A417,$B$5:$B$504,B417)-SUMIFS($F$5:$F$504,$A$5:$A$504,A417,$B$5:$B$504,B417))</f>
        <v/>
      </c>
      <c r="H417" s="33" t="str">
        <f aca="false">IF(OR(B417="",AND(A417=A416 ,B417=B416)),"",SUMIFS($F$5:$F$504,$A$5:$A$504,A417,$B$5:$B$504,B417))</f>
        <v/>
      </c>
      <c r="I417" s="34"/>
      <c r="J417" s="35"/>
    </row>
    <row r="418" customFormat="false" ht="15" hidden="false" customHeight="false" outlineLevel="0" collapsed="false">
      <c r="A418" s="32"/>
      <c r="B418" s="29"/>
      <c r="C418" s="29"/>
      <c r="D418" s="25"/>
      <c r="E418" s="25"/>
      <c r="F418" s="25"/>
      <c r="G418" s="33" t="str">
        <f aca="false">IF(OR(B418="",AND(A418=A417 ,B418=B417)),"",SUMIFS($D$5:$D$504,$A$5:$A$504,A418,$B$5:$B$504,B418)+SUMIFS($E$5:$E$504,$A$5:$A$504,A418,$B$5:$B$504,B418)-SUMIFS($F$5:$F$504,$A$5:$A$504,A418,$B$5:$B$504,B418))</f>
        <v/>
      </c>
      <c r="H418" s="33" t="str">
        <f aca="false">IF(OR(B418="",AND(A418=A417 ,B418=B417)),"",SUMIFS($F$5:$F$504,$A$5:$A$504,A418,$B$5:$B$504,B418))</f>
        <v/>
      </c>
      <c r="I418" s="34"/>
      <c r="J418" s="35"/>
    </row>
    <row r="419" customFormat="false" ht="15" hidden="false" customHeight="false" outlineLevel="0" collapsed="false">
      <c r="A419" s="32"/>
      <c r="B419" s="29"/>
      <c r="C419" s="29"/>
      <c r="D419" s="25"/>
      <c r="E419" s="25"/>
      <c r="F419" s="25"/>
      <c r="G419" s="33" t="str">
        <f aca="false">IF(OR(B419="",AND(A419=A418 ,B419=B418)),"",SUMIFS($D$5:$D$504,$A$5:$A$504,A419,$B$5:$B$504,B419)+SUMIFS($E$5:$E$504,$A$5:$A$504,A419,$B$5:$B$504,B419)-SUMIFS($F$5:$F$504,$A$5:$A$504,A419,$B$5:$B$504,B419))</f>
        <v/>
      </c>
      <c r="H419" s="33" t="str">
        <f aca="false">IF(OR(B419="",AND(A419=A418 ,B419=B418)),"",SUMIFS($F$5:$F$504,$A$5:$A$504,A419,$B$5:$B$504,B419))</f>
        <v/>
      </c>
      <c r="I419" s="34"/>
      <c r="J419" s="35"/>
    </row>
    <row r="420" customFormat="false" ht="15" hidden="false" customHeight="false" outlineLevel="0" collapsed="false">
      <c r="A420" s="32"/>
      <c r="B420" s="29"/>
      <c r="C420" s="29"/>
      <c r="D420" s="25"/>
      <c r="E420" s="25"/>
      <c r="F420" s="25"/>
      <c r="G420" s="33" t="str">
        <f aca="false">IF(OR(B420="",AND(A420=A419 ,B420=B419)),"",SUMIFS($D$5:$D$504,$A$5:$A$504,A420,$B$5:$B$504,B420)+SUMIFS($E$5:$E$504,$A$5:$A$504,A420,$B$5:$B$504,B420)-SUMIFS($F$5:$F$504,$A$5:$A$504,A420,$B$5:$B$504,B420))</f>
        <v/>
      </c>
      <c r="H420" s="33" t="str">
        <f aca="false">IF(OR(B420="",AND(A420=A419 ,B420=B419)),"",SUMIFS($F$5:$F$504,$A$5:$A$504,A420,$B$5:$B$504,B420))</f>
        <v/>
      </c>
      <c r="I420" s="34"/>
      <c r="J420" s="35"/>
    </row>
    <row r="421" customFormat="false" ht="15" hidden="false" customHeight="false" outlineLevel="0" collapsed="false">
      <c r="A421" s="32"/>
      <c r="B421" s="29"/>
      <c r="C421" s="29"/>
      <c r="D421" s="25"/>
      <c r="E421" s="25"/>
      <c r="F421" s="25"/>
      <c r="G421" s="33" t="str">
        <f aca="false">IF(OR(B421="",AND(A421=A420 ,B421=B420)),"",SUMIFS($D$5:$D$504,$A$5:$A$504,A421,$B$5:$B$504,B421)+SUMIFS($E$5:$E$504,$A$5:$A$504,A421,$B$5:$B$504,B421)-SUMIFS($F$5:$F$504,$A$5:$A$504,A421,$B$5:$B$504,B421))</f>
        <v/>
      </c>
      <c r="H421" s="33" t="str">
        <f aca="false">IF(OR(B421="",AND(A421=A420 ,B421=B420)),"",SUMIFS($F$5:$F$504,$A$5:$A$504,A421,$B$5:$B$504,B421))</f>
        <v/>
      </c>
      <c r="I421" s="34"/>
      <c r="J421" s="35"/>
    </row>
    <row r="422" customFormat="false" ht="15" hidden="false" customHeight="false" outlineLevel="0" collapsed="false">
      <c r="A422" s="32"/>
      <c r="B422" s="29"/>
      <c r="C422" s="29"/>
      <c r="D422" s="25"/>
      <c r="E422" s="25"/>
      <c r="F422" s="25"/>
      <c r="G422" s="33" t="str">
        <f aca="false">IF(OR(B422="",AND(A422=A421 ,B422=B421)),"",SUMIFS($D$5:$D$504,$A$5:$A$504,A422,$B$5:$B$504,B422)+SUMIFS($E$5:$E$504,$A$5:$A$504,A422,$B$5:$B$504,B422)-SUMIFS($F$5:$F$504,$A$5:$A$504,A422,$B$5:$B$504,B422))</f>
        <v/>
      </c>
      <c r="H422" s="33" t="str">
        <f aca="false">IF(OR(B422="",AND(A422=A421 ,B422=B421)),"",SUMIFS($F$5:$F$504,$A$5:$A$504,A422,$B$5:$B$504,B422))</f>
        <v/>
      </c>
      <c r="I422" s="34"/>
      <c r="J422" s="35"/>
    </row>
    <row r="423" customFormat="false" ht="15" hidden="false" customHeight="false" outlineLevel="0" collapsed="false">
      <c r="A423" s="32"/>
      <c r="B423" s="29"/>
      <c r="C423" s="29"/>
      <c r="D423" s="25"/>
      <c r="E423" s="25"/>
      <c r="F423" s="25"/>
      <c r="G423" s="33" t="str">
        <f aca="false">IF(OR(B423="",AND(A423=A422 ,B423=B422)),"",SUMIFS($D$5:$D$504,$A$5:$A$504,A423,$B$5:$B$504,B423)+SUMIFS($E$5:$E$504,$A$5:$A$504,A423,$B$5:$B$504,B423)-SUMIFS($F$5:$F$504,$A$5:$A$504,A423,$B$5:$B$504,B423))</f>
        <v/>
      </c>
      <c r="H423" s="33" t="str">
        <f aca="false">IF(OR(B423="",AND(A423=A422 ,B423=B422)),"",SUMIFS($F$5:$F$504,$A$5:$A$504,A423,$B$5:$B$504,B423))</f>
        <v/>
      </c>
      <c r="I423" s="34"/>
      <c r="J423" s="35"/>
    </row>
    <row r="424" customFormat="false" ht="15" hidden="false" customHeight="false" outlineLevel="0" collapsed="false">
      <c r="A424" s="32"/>
      <c r="B424" s="29"/>
      <c r="C424" s="29"/>
      <c r="D424" s="25"/>
      <c r="E424" s="25"/>
      <c r="F424" s="25"/>
      <c r="G424" s="33" t="str">
        <f aca="false">IF(OR(B424="",AND(A424=A423 ,B424=B423)),"",SUMIFS($D$5:$D$504,$A$5:$A$504,A424,$B$5:$B$504,B424)+SUMIFS($E$5:$E$504,$A$5:$A$504,A424,$B$5:$B$504,B424)-SUMIFS($F$5:$F$504,$A$5:$A$504,A424,$B$5:$B$504,B424))</f>
        <v/>
      </c>
      <c r="H424" s="33" t="str">
        <f aca="false">IF(OR(B424="",AND(A424=A423 ,B424=B423)),"",SUMIFS($F$5:$F$504,$A$5:$A$504,A424,$B$5:$B$504,B424))</f>
        <v/>
      </c>
      <c r="I424" s="34"/>
      <c r="J424" s="35"/>
    </row>
    <row r="425" customFormat="false" ht="15" hidden="false" customHeight="false" outlineLevel="0" collapsed="false">
      <c r="A425" s="32"/>
      <c r="B425" s="29"/>
      <c r="C425" s="29"/>
      <c r="D425" s="25"/>
      <c r="E425" s="25"/>
      <c r="F425" s="25"/>
      <c r="G425" s="33" t="str">
        <f aca="false">IF(OR(B425="",AND(A425=A424 ,B425=B424)),"",SUMIFS($D$5:$D$504,$A$5:$A$504,A425,$B$5:$B$504,B425)+SUMIFS($E$5:$E$504,$A$5:$A$504,A425,$B$5:$B$504,B425)-SUMIFS($F$5:$F$504,$A$5:$A$504,A425,$B$5:$B$504,B425))</f>
        <v/>
      </c>
      <c r="H425" s="33" t="str">
        <f aca="false">IF(OR(B425="",AND(A425=A424 ,B425=B424)),"",SUMIFS($F$5:$F$504,$A$5:$A$504,A425,$B$5:$B$504,B425))</f>
        <v/>
      </c>
      <c r="I425" s="34"/>
      <c r="J425" s="35"/>
    </row>
    <row r="426" customFormat="false" ht="15" hidden="false" customHeight="false" outlineLevel="0" collapsed="false">
      <c r="A426" s="32"/>
      <c r="B426" s="29"/>
      <c r="C426" s="29"/>
      <c r="D426" s="25"/>
      <c r="E426" s="25"/>
      <c r="F426" s="25"/>
      <c r="G426" s="33" t="str">
        <f aca="false">IF(OR(B426="",AND(A426=A425 ,B426=B425)),"",SUMIFS($D$5:$D$504,$A$5:$A$504,A426,$B$5:$B$504,B426)+SUMIFS($E$5:$E$504,$A$5:$A$504,A426,$B$5:$B$504,B426)-SUMIFS($F$5:$F$504,$A$5:$A$504,A426,$B$5:$B$504,B426))</f>
        <v/>
      </c>
      <c r="H426" s="33" t="str">
        <f aca="false">IF(OR(B426="",AND(A426=A425 ,B426=B425)),"",SUMIFS($F$5:$F$504,$A$5:$A$504,A426,$B$5:$B$504,B426))</f>
        <v/>
      </c>
      <c r="I426" s="34"/>
      <c r="J426" s="35"/>
    </row>
    <row r="427" customFormat="false" ht="15" hidden="false" customHeight="false" outlineLevel="0" collapsed="false">
      <c r="A427" s="32"/>
      <c r="B427" s="29"/>
      <c r="C427" s="29"/>
      <c r="D427" s="25"/>
      <c r="E427" s="25"/>
      <c r="F427" s="25"/>
      <c r="G427" s="33" t="str">
        <f aca="false">IF(OR(B427="",AND(A427=A426 ,B427=B426)),"",SUMIFS($D$5:$D$504,$A$5:$A$504,A427,$B$5:$B$504,B427)+SUMIFS($E$5:$E$504,$A$5:$A$504,A427,$B$5:$B$504,B427)-SUMIFS($F$5:$F$504,$A$5:$A$504,A427,$B$5:$B$504,B427))</f>
        <v/>
      </c>
      <c r="H427" s="33" t="str">
        <f aca="false">IF(OR(B427="",AND(A427=A426 ,B427=B426)),"",SUMIFS($F$5:$F$504,$A$5:$A$504,A427,$B$5:$B$504,B427))</f>
        <v/>
      </c>
      <c r="I427" s="34"/>
      <c r="J427" s="35"/>
    </row>
    <row r="428" customFormat="false" ht="15" hidden="false" customHeight="false" outlineLevel="0" collapsed="false">
      <c r="A428" s="32"/>
      <c r="B428" s="29"/>
      <c r="C428" s="29"/>
      <c r="D428" s="25"/>
      <c r="E428" s="25"/>
      <c r="F428" s="25"/>
      <c r="G428" s="33" t="str">
        <f aca="false">IF(OR(B428="",AND(A428=A427 ,B428=B427)),"",SUMIFS($D$5:$D$504,$A$5:$A$504,A428,$B$5:$B$504,B428)+SUMIFS($E$5:$E$504,$A$5:$A$504,A428,$B$5:$B$504,B428)-SUMIFS($F$5:$F$504,$A$5:$A$504,A428,$B$5:$B$504,B428))</f>
        <v/>
      </c>
      <c r="H428" s="33" t="str">
        <f aca="false">IF(OR(B428="",AND(A428=A427 ,B428=B427)),"",SUMIFS($F$5:$F$504,$A$5:$A$504,A428,$B$5:$B$504,B428))</f>
        <v/>
      </c>
      <c r="I428" s="34"/>
      <c r="J428" s="35"/>
    </row>
    <row r="429" customFormat="false" ht="15" hidden="false" customHeight="false" outlineLevel="0" collapsed="false">
      <c r="A429" s="32"/>
      <c r="B429" s="29"/>
      <c r="C429" s="29"/>
      <c r="D429" s="25"/>
      <c r="E429" s="25"/>
      <c r="F429" s="25"/>
      <c r="G429" s="33" t="str">
        <f aca="false">IF(OR(B429="",AND(A429=A428 ,B429=B428)),"",SUMIFS($D$5:$D$504,$A$5:$A$504,A429,$B$5:$B$504,B429)+SUMIFS($E$5:$E$504,$A$5:$A$504,A429,$B$5:$B$504,B429)-SUMIFS($F$5:$F$504,$A$5:$A$504,A429,$B$5:$B$504,B429))</f>
        <v/>
      </c>
      <c r="H429" s="33" t="str">
        <f aca="false">IF(OR(B429="",AND(A429=A428 ,B429=B428)),"",SUMIFS($F$5:$F$504,$A$5:$A$504,A429,$B$5:$B$504,B429))</f>
        <v/>
      </c>
      <c r="I429" s="34"/>
      <c r="J429" s="35"/>
    </row>
    <row r="430" customFormat="false" ht="15" hidden="false" customHeight="false" outlineLevel="0" collapsed="false">
      <c r="A430" s="32"/>
      <c r="B430" s="29"/>
      <c r="C430" s="29"/>
      <c r="D430" s="25"/>
      <c r="E430" s="25"/>
      <c r="F430" s="25"/>
      <c r="G430" s="33" t="str">
        <f aca="false">IF(OR(B430="",AND(A430=A429 ,B430=B429)),"",SUMIFS($D$5:$D$504,$A$5:$A$504,A430,$B$5:$B$504,B430)+SUMIFS($E$5:$E$504,$A$5:$A$504,A430,$B$5:$B$504,B430)-SUMIFS($F$5:$F$504,$A$5:$A$504,A430,$B$5:$B$504,B430))</f>
        <v/>
      </c>
      <c r="H430" s="33" t="str">
        <f aca="false">IF(OR(B430="",AND(A430=A429 ,B430=B429)),"",SUMIFS($F$5:$F$504,$A$5:$A$504,A430,$B$5:$B$504,B430))</f>
        <v/>
      </c>
      <c r="I430" s="34"/>
      <c r="J430" s="35"/>
    </row>
    <row r="431" customFormat="false" ht="15" hidden="false" customHeight="false" outlineLevel="0" collapsed="false">
      <c r="A431" s="32"/>
      <c r="B431" s="29"/>
      <c r="C431" s="29"/>
      <c r="D431" s="25"/>
      <c r="E431" s="25"/>
      <c r="F431" s="25"/>
      <c r="G431" s="33" t="str">
        <f aca="false">IF(OR(B431="",AND(A431=A430 ,B431=B430)),"",SUMIFS($D$5:$D$504,$A$5:$A$504,A431,$B$5:$B$504,B431)+SUMIFS($E$5:$E$504,$A$5:$A$504,A431,$B$5:$B$504,B431)-SUMIFS($F$5:$F$504,$A$5:$A$504,A431,$B$5:$B$504,B431))</f>
        <v/>
      </c>
      <c r="H431" s="33" t="str">
        <f aca="false">IF(OR(B431="",AND(A431=A430 ,B431=B430)),"",SUMIFS($F$5:$F$504,$A$5:$A$504,A431,$B$5:$B$504,B431))</f>
        <v/>
      </c>
      <c r="I431" s="34"/>
      <c r="J431" s="35"/>
    </row>
    <row r="432" customFormat="false" ht="15" hidden="false" customHeight="false" outlineLevel="0" collapsed="false">
      <c r="A432" s="32"/>
      <c r="B432" s="29"/>
      <c r="C432" s="29"/>
      <c r="D432" s="25"/>
      <c r="E432" s="25"/>
      <c r="F432" s="25"/>
      <c r="G432" s="33" t="str">
        <f aca="false">IF(OR(B432="",AND(A432=A431 ,B432=B431)),"",SUMIFS($D$5:$D$504,$A$5:$A$504,A432,$B$5:$B$504,B432)+SUMIFS($E$5:$E$504,$A$5:$A$504,A432,$B$5:$B$504,B432)-SUMIFS($F$5:$F$504,$A$5:$A$504,A432,$B$5:$B$504,B432))</f>
        <v/>
      </c>
      <c r="H432" s="33" t="str">
        <f aca="false">IF(OR(B432="",AND(A432=A431 ,B432=B431)),"",SUMIFS($F$5:$F$504,$A$5:$A$504,A432,$B$5:$B$504,B432))</f>
        <v/>
      </c>
      <c r="I432" s="34"/>
      <c r="J432" s="35"/>
    </row>
    <row r="433" customFormat="false" ht="15" hidden="false" customHeight="false" outlineLevel="0" collapsed="false">
      <c r="A433" s="32"/>
      <c r="B433" s="29"/>
      <c r="C433" s="29"/>
      <c r="D433" s="25"/>
      <c r="E433" s="25"/>
      <c r="F433" s="25"/>
      <c r="G433" s="33" t="str">
        <f aca="false">IF(OR(B433="",AND(A433=A432 ,B433=B432)),"",SUMIFS($D$5:$D$504,$A$5:$A$504,A433,$B$5:$B$504,B433)+SUMIFS($E$5:$E$504,$A$5:$A$504,A433,$B$5:$B$504,B433)-SUMIFS($F$5:$F$504,$A$5:$A$504,A433,$B$5:$B$504,B433))</f>
        <v/>
      </c>
      <c r="H433" s="33" t="str">
        <f aca="false">IF(OR(B433="",AND(A433=A432 ,B433=B432)),"",SUMIFS($F$5:$F$504,$A$5:$A$504,A433,$B$5:$B$504,B433))</f>
        <v/>
      </c>
      <c r="I433" s="34"/>
      <c r="J433" s="35"/>
    </row>
    <row r="434" customFormat="false" ht="15" hidden="false" customHeight="false" outlineLevel="0" collapsed="false">
      <c r="A434" s="32"/>
      <c r="B434" s="29"/>
      <c r="C434" s="29"/>
      <c r="D434" s="25"/>
      <c r="E434" s="25"/>
      <c r="F434" s="25"/>
      <c r="G434" s="33" t="str">
        <f aca="false">IF(OR(B434="",AND(A434=A433 ,B434=B433)),"",SUMIFS($D$5:$D$504,$A$5:$A$504,A434,$B$5:$B$504,B434)+SUMIFS($E$5:$E$504,$A$5:$A$504,A434,$B$5:$B$504,B434)-SUMIFS($F$5:$F$504,$A$5:$A$504,A434,$B$5:$B$504,B434))</f>
        <v/>
      </c>
      <c r="H434" s="33" t="str">
        <f aca="false">IF(OR(B434="",AND(A434=A433 ,B434=B433)),"",SUMIFS($F$5:$F$504,$A$5:$A$504,A434,$B$5:$B$504,B434))</f>
        <v/>
      </c>
      <c r="I434" s="34"/>
      <c r="J434" s="35"/>
    </row>
    <row r="435" customFormat="false" ht="15" hidden="false" customHeight="false" outlineLevel="0" collapsed="false">
      <c r="A435" s="32"/>
      <c r="B435" s="29"/>
      <c r="C435" s="29"/>
      <c r="D435" s="25"/>
      <c r="E435" s="25"/>
      <c r="F435" s="25"/>
      <c r="G435" s="33" t="str">
        <f aca="false">IF(OR(B435="",AND(A435=A434 ,B435=B434)),"",SUMIFS($D$5:$D$504,$A$5:$A$504,A435,$B$5:$B$504,B435)+SUMIFS($E$5:$E$504,$A$5:$A$504,A435,$B$5:$B$504,B435)-SUMIFS($F$5:$F$504,$A$5:$A$504,A435,$B$5:$B$504,B435))</f>
        <v/>
      </c>
      <c r="H435" s="33" t="str">
        <f aca="false">IF(OR(B435="",AND(A435=A434 ,B435=B434)),"",SUMIFS($F$5:$F$504,$A$5:$A$504,A435,$B$5:$B$504,B435))</f>
        <v/>
      </c>
      <c r="I435" s="34"/>
      <c r="J435" s="35"/>
    </row>
    <row r="436" customFormat="false" ht="15" hidden="false" customHeight="false" outlineLevel="0" collapsed="false">
      <c r="A436" s="32"/>
      <c r="B436" s="29"/>
      <c r="C436" s="29"/>
      <c r="D436" s="25"/>
      <c r="E436" s="25"/>
      <c r="F436" s="25"/>
      <c r="G436" s="33" t="str">
        <f aca="false">IF(OR(B436="",AND(A436=A435 ,B436=B435)),"",SUMIFS($D$5:$D$504,$A$5:$A$504,A436,$B$5:$B$504,B436)+SUMIFS($E$5:$E$504,$A$5:$A$504,A436,$B$5:$B$504,B436)-SUMIFS($F$5:$F$504,$A$5:$A$504,A436,$B$5:$B$504,B436))</f>
        <v/>
      </c>
      <c r="H436" s="33" t="str">
        <f aca="false">IF(OR(B436="",AND(A436=A435 ,B436=B435)),"",SUMIFS($F$5:$F$504,$A$5:$A$504,A436,$B$5:$B$504,B436))</f>
        <v/>
      </c>
      <c r="I436" s="34"/>
      <c r="J436" s="35"/>
    </row>
    <row r="437" customFormat="false" ht="15" hidden="false" customHeight="false" outlineLevel="0" collapsed="false">
      <c r="A437" s="32"/>
      <c r="B437" s="29"/>
      <c r="C437" s="29"/>
      <c r="D437" s="25"/>
      <c r="E437" s="25"/>
      <c r="F437" s="25"/>
      <c r="G437" s="33" t="str">
        <f aca="false">IF(OR(B437="",AND(A437=A436 ,B437=B436)),"",SUMIFS($D$5:$D$504,$A$5:$A$504,A437,$B$5:$B$504,B437)+SUMIFS($E$5:$E$504,$A$5:$A$504,A437,$B$5:$B$504,B437)-SUMIFS($F$5:$F$504,$A$5:$A$504,A437,$B$5:$B$504,B437))</f>
        <v/>
      </c>
      <c r="H437" s="33" t="str">
        <f aca="false">IF(OR(B437="",AND(A437=A436 ,B437=B436)),"",SUMIFS($F$5:$F$504,$A$5:$A$504,A437,$B$5:$B$504,B437))</f>
        <v/>
      </c>
      <c r="I437" s="34"/>
      <c r="J437" s="35"/>
    </row>
    <row r="438" customFormat="false" ht="15" hidden="false" customHeight="false" outlineLevel="0" collapsed="false">
      <c r="A438" s="32"/>
      <c r="B438" s="29"/>
      <c r="C438" s="29"/>
      <c r="D438" s="25"/>
      <c r="E438" s="25"/>
      <c r="F438" s="25"/>
      <c r="G438" s="33" t="str">
        <f aca="false">IF(OR(B438="",AND(A438=A437 ,B438=B437)),"",SUMIFS($D$5:$D$504,$A$5:$A$504,A438,$B$5:$B$504,B438)+SUMIFS($E$5:$E$504,$A$5:$A$504,A438,$B$5:$B$504,B438)-SUMIFS($F$5:$F$504,$A$5:$A$504,A438,$B$5:$B$504,B438))</f>
        <v/>
      </c>
      <c r="H438" s="33" t="str">
        <f aca="false">IF(OR(B438="",AND(A438=A437 ,B438=B437)),"",SUMIFS($F$5:$F$504,$A$5:$A$504,A438,$B$5:$B$504,B438))</f>
        <v/>
      </c>
      <c r="I438" s="34"/>
      <c r="J438" s="35"/>
    </row>
    <row r="439" customFormat="false" ht="15" hidden="false" customHeight="false" outlineLevel="0" collapsed="false">
      <c r="A439" s="32"/>
      <c r="B439" s="29"/>
      <c r="C439" s="29"/>
      <c r="D439" s="25"/>
      <c r="E439" s="25"/>
      <c r="F439" s="25"/>
      <c r="G439" s="33" t="str">
        <f aca="false">IF(OR(B439="",AND(A439=A438 ,B439=B438)),"",SUMIFS($D$5:$D$504,$A$5:$A$504,A439,$B$5:$B$504,B439)+SUMIFS($E$5:$E$504,$A$5:$A$504,A439,$B$5:$B$504,B439)-SUMIFS($F$5:$F$504,$A$5:$A$504,A439,$B$5:$B$504,B439))</f>
        <v/>
      </c>
      <c r="H439" s="33" t="str">
        <f aca="false">IF(OR(B439="",AND(A439=A438 ,B439=B438)),"",SUMIFS($F$5:$F$504,$A$5:$A$504,A439,$B$5:$B$504,B439))</f>
        <v/>
      </c>
      <c r="I439" s="34"/>
      <c r="J439" s="35"/>
    </row>
    <row r="440" customFormat="false" ht="15" hidden="false" customHeight="false" outlineLevel="0" collapsed="false">
      <c r="A440" s="32"/>
      <c r="B440" s="29"/>
      <c r="C440" s="29"/>
      <c r="D440" s="25"/>
      <c r="E440" s="25"/>
      <c r="F440" s="25"/>
      <c r="G440" s="33" t="str">
        <f aca="false">IF(OR(B440="",AND(A440=A439 ,B440=B439)),"",SUMIFS($D$5:$D$504,$A$5:$A$504,A440,$B$5:$B$504,B440)+SUMIFS($E$5:$E$504,$A$5:$A$504,A440,$B$5:$B$504,B440)-SUMIFS($F$5:$F$504,$A$5:$A$504,A440,$B$5:$B$504,B440))</f>
        <v/>
      </c>
      <c r="H440" s="33" t="str">
        <f aca="false">IF(OR(B440="",AND(A440=A439 ,B440=B439)),"",SUMIFS($F$5:$F$504,$A$5:$A$504,A440,$B$5:$B$504,B440))</f>
        <v/>
      </c>
      <c r="I440" s="34"/>
      <c r="J440" s="35"/>
    </row>
    <row r="441" customFormat="false" ht="15" hidden="false" customHeight="false" outlineLevel="0" collapsed="false">
      <c r="A441" s="32"/>
      <c r="B441" s="29"/>
      <c r="C441" s="29"/>
      <c r="D441" s="25"/>
      <c r="E441" s="25"/>
      <c r="F441" s="25"/>
      <c r="G441" s="33" t="str">
        <f aca="false">IF(OR(B441="",AND(A441=A440 ,B441=B440)),"",SUMIFS($D$5:$D$504,$A$5:$A$504,A441,$B$5:$B$504,B441)+SUMIFS($E$5:$E$504,$A$5:$A$504,A441,$B$5:$B$504,B441)-SUMIFS($F$5:$F$504,$A$5:$A$504,A441,$B$5:$B$504,B441))</f>
        <v/>
      </c>
      <c r="H441" s="33" t="str">
        <f aca="false">IF(OR(B441="",AND(A441=A440 ,B441=B440)),"",SUMIFS($F$5:$F$504,$A$5:$A$504,A441,$B$5:$B$504,B441))</f>
        <v/>
      </c>
      <c r="I441" s="34"/>
      <c r="J441" s="35"/>
    </row>
    <row r="442" customFormat="false" ht="15" hidden="false" customHeight="false" outlineLevel="0" collapsed="false">
      <c r="A442" s="32"/>
      <c r="B442" s="29"/>
      <c r="C442" s="29"/>
      <c r="D442" s="25"/>
      <c r="E442" s="25"/>
      <c r="F442" s="25"/>
      <c r="G442" s="33" t="str">
        <f aca="false">IF(OR(B442="",AND(A442=A441 ,B442=B441)),"",SUMIFS($D$5:$D$504,$A$5:$A$504,A442,$B$5:$B$504,B442)+SUMIFS($E$5:$E$504,$A$5:$A$504,A442,$B$5:$B$504,B442)-SUMIFS($F$5:$F$504,$A$5:$A$504,A442,$B$5:$B$504,B442))</f>
        <v/>
      </c>
      <c r="H442" s="33" t="str">
        <f aca="false">IF(OR(B442="",AND(A442=A441 ,B442=B441)),"",SUMIFS($F$5:$F$504,$A$5:$A$504,A442,$B$5:$B$504,B442))</f>
        <v/>
      </c>
      <c r="I442" s="34"/>
      <c r="J442" s="35"/>
    </row>
    <row r="443" customFormat="false" ht="15" hidden="false" customHeight="false" outlineLevel="0" collapsed="false">
      <c r="A443" s="32"/>
      <c r="B443" s="29"/>
      <c r="C443" s="29"/>
      <c r="D443" s="25"/>
      <c r="E443" s="25"/>
      <c r="F443" s="25"/>
      <c r="G443" s="33" t="str">
        <f aca="false">IF(OR(B443="",AND(A443=A442 ,B443=B442)),"",SUMIFS($D$5:$D$504,$A$5:$A$504,A443,$B$5:$B$504,B443)+SUMIFS($E$5:$E$504,$A$5:$A$504,A443,$B$5:$B$504,B443)-SUMIFS($F$5:$F$504,$A$5:$A$504,A443,$B$5:$B$504,B443))</f>
        <v/>
      </c>
      <c r="H443" s="33" t="str">
        <f aca="false">IF(OR(B443="",AND(A443=A442 ,B443=B442)),"",SUMIFS($F$5:$F$504,$A$5:$A$504,A443,$B$5:$B$504,B443))</f>
        <v/>
      </c>
      <c r="I443" s="34"/>
      <c r="J443" s="35"/>
    </row>
    <row r="444" customFormat="false" ht="15" hidden="false" customHeight="false" outlineLevel="0" collapsed="false">
      <c r="A444" s="32"/>
      <c r="B444" s="29"/>
      <c r="C444" s="29"/>
      <c r="D444" s="25"/>
      <c r="E444" s="25"/>
      <c r="F444" s="25"/>
      <c r="G444" s="33" t="str">
        <f aca="false">IF(OR(B444="",AND(A444=A443 ,B444=B443)),"",SUMIFS($D$5:$D$504,$A$5:$A$504,A444,$B$5:$B$504,B444)+SUMIFS($E$5:$E$504,$A$5:$A$504,A444,$B$5:$B$504,B444)-SUMIFS($F$5:$F$504,$A$5:$A$504,A444,$B$5:$B$504,B444))</f>
        <v/>
      </c>
      <c r="H444" s="33" t="str">
        <f aca="false">IF(OR(B444="",AND(A444=A443 ,B444=B443)),"",SUMIFS($F$5:$F$504,$A$5:$A$504,A444,$B$5:$B$504,B444))</f>
        <v/>
      </c>
      <c r="I444" s="34"/>
      <c r="J444" s="35"/>
    </row>
    <row r="445" customFormat="false" ht="15" hidden="false" customHeight="false" outlineLevel="0" collapsed="false">
      <c r="A445" s="32"/>
      <c r="B445" s="29"/>
      <c r="C445" s="29"/>
      <c r="D445" s="25"/>
      <c r="E445" s="25"/>
      <c r="F445" s="25"/>
      <c r="G445" s="33" t="str">
        <f aca="false">IF(OR(B445="",AND(A445=A444 ,B445=B444)),"",SUMIFS($D$5:$D$504,$A$5:$A$504,A445,$B$5:$B$504,B445)+SUMIFS($E$5:$E$504,$A$5:$A$504,A445,$B$5:$B$504,B445)-SUMIFS($F$5:$F$504,$A$5:$A$504,A445,$B$5:$B$504,B445))</f>
        <v/>
      </c>
      <c r="H445" s="33" t="str">
        <f aca="false">IF(OR(B445="",AND(A445=A444 ,B445=B444)),"",SUMIFS($F$5:$F$504,$A$5:$A$504,A445,$B$5:$B$504,B445))</f>
        <v/>
      </c>
      <c r="I445" s="34"/>
      <c r="J445" s="35"/>
    </row>
    <row r="446" customFormat="false" ht="15" hidden="false" customHeight="false" outlineLevel="0" collapsed="false">
      <c r="A446" s="32"/>
      <c r="B446" s="29"/>
      <c r="C446" s="29"/>
      <c r="D446" s="25"/>
      <c r="E446" s="25"/>
      <c r="F446" s="25"/>
      <c r="G446" s="33" t="str">
        <f aca="false">IF(OR(B446="",AND(A446=A445 ,B446=B445)),"",SUMIFS($D$5:$D$504,$A$5:$A$504,A446,$B$5:$B$504,B446)+SUMIFS($E$5:$E$504,$A$5:$A$504,A446,$B$5:$B$504,B446)-SUMIFS($F$5:$F$504,$A$5:$A$504,A446,$B$5:$B$504,B446))</f>
        <v/>
      </c>
      <c r="H446" s="33" t="str">
        <f aca="false">IF(OR(B446="",AND(A446=A445 ,B446=B445)),"",SUMIFS($F$5:$F$504,$A$5:$A$504,A446,$B$5:$B$504,B446))</f>
        <v/>
      </c>
      <c r="I446" s="34"/>
      <c r="J446" s="35"/>
    </row>
    <row r="447" customFormat="false" ht="15" hidden="false" customHeight="false" outlineLevel="0" collapsed="false">
      <c r="A447" s="32"/>
      <c r="B447" s="29"/>
      <c r="C447" s="29"/>
      <c r="D447" s="25"/>
      <c r="E447" s="25"/>
      <c r="F447" s="25"/>
      <c r="G447" s="33" t="str">
        <f aca="false">IF(OR(B447="",AND(A447=A446 ,B447=B446)),"",SUMIFS($D$5:$D$504,$A$5:$A$504,A447,$B$5:$B$504,B447)+SUMIFS($E$5:$E$504,$A$5:$A$504,A447,$B$5:$B$504,B447)-SUMIFS($F$5:$F$504,$A$5:$A$504,A447,$B$5:$B$504,B447))</f>
        <v/>
      </c>
      <c r="H447" s="33" t="str">
        <f aca="false">IF(OR(B447="",AND(A447=A446 ,B447=B446)),"",SUMIFS($F$5:$F$504,$A$5:$A$504,A447,$B$5:$B$504,B447))</f>
        <v/>
      </c>
      <c r="I447" s="34"/>
      <c r="J447" s="35"/>
    </row>
    <row r="448" customFormat="false" ht="15" hidden="false" customHeight="false" outlineLevel="0" collapsed="false">
      <c r="A448" s="32"/>
      <c r="B448" s="29"/>
      <c r="C448" s="29"/>
      <c r="D448" s="25"/>
      <c r="E448" s="25"/>
      <c r="F448" s="25"/>
      <c r="G448" s="33" t="str">
        <f aca="false">IF(OR(B448="",AND(A448=A447 ,B448=B447)),"",SUMIFS($D$5:$D$504,$A$5:$A$504,A448,$B$5:$B$504,B448)+SUMIFS($E$5:$E$504,$A$5:$A$504,A448,$B$5:$B$504,B448)-SUMIFS($F$5:$F$504,$A$5:$A$504,A448,$B$5:$B$504,B448))</f>
        <v/>
      </c>
      <c r="H448" s="33" t="str">
        <f aca="false">IF(OR(B448="",AND(A448=A447 ,B448=B447)),"",SUMIFS($F$5:$F$504,$A$5:$A$504,A448,$B$5:$B$504,B448))</f>
        <v/>
      </c>
      <c r="I448" s="34"/>
      <c r="J448" s="35"/>
    </row>
    <row r="449" customFormat="false" ht="15" hidden="false" customHeight="false" outlineLevel="0" collapsed="false">
      <c r="A449" s="32"/>
      <c r="B449" s="29"/>
      <c r="C449" s="29"/>
      <c r="D449" s="25"/>
      <c r="E449" s="25"/>
      <c r="F449" s="25"/>
      <c r="G449" s="33" t="str">
        <f aca="false">IF(OR(B449="",AND(A449=A448 ,B449=B448)),"",SUMIFS($D$5:$D$504,$A$5:$A$504,A449,$B$5:$B$504,B449)+SUMIFS($E$5:$E$504,$A$5:$A$504,A449,$B$5:$B$504,B449)-SUMIFS($F$5:$F$504,$A$5:$A$504,A449,$B$5:$B$504,B449))</f>
        <v/>
      </c>
      <c r="H449" s="33" t="str">
        <f aca="false">IF(OR(B449="",AND(A449=A448 ,B449=B448)),"",SUMIFS($F$5:$F$504,$A$5:$A$504,A449,$B$5:$B$504,B449))</f>
        <v/>
      </c>
      <c r="I449" s="34"/>
      <c r="J449" s="35"/>
    </row>
    <row r="450" customFormat="false" ht="15" hidden="false" customHeight="false" outlineLevel="0" collapsed="false">
      <c r="A450" s="32"/>
      <c r="B450" s="29"/>
      <c r="C450" s="29"/>
      <c r="D450" s="25"/>
      <c r="E450" s="25"/>
      <c r="F450" s="25"/>
      <c r="G450" s="33" t="str">
        <f aca="false">IF(OR(B450="",AND(A450=A449 ,B450=B449)),"",SUMIFS($D$5:$D$504,$A$5:$A$504,A450,$B$5:$B$504,B450)+SUMIFS($E$5:$E$504,$A$5:$A$504,A450,$B$5:$B$504,B450)-SUMIFS($F$5:$F$504,$A$5:$A$504,A450,$B$5:$B$504,B450))</f>
        <v/>
      </c>
      <c r="H450" s="33" t="str">
        <f aca="false">IF(OR(B450="",AND(A450=A449 ,B450=B449)),"",SUMIFS($F$5:$F$504,$A$5:$A$504,A450,$B$5:$B$504,B450))</f>
        <v/>
      </c>
      <c r="I450" s="34"/>
      <c r="J450" s="35"/>
    </row>
    <row r="451" customFormat="false" ht="15" hidden="false" customHeight="false" outlineLevel="0" collapsed="false">
      <c r="A451" s="32"/>
      <c r="B451" s="29"/>
      <c r="C451" s="29"/>
      <c r="D451" s="25"/>
      <c r="E451" s="25"/>
      <c r="F451" s="25"/>
      <c r="G451" s="33" t="str">
        <f aca="false">IF(OR(B451="",AND(A451=A450 ,B451=B450)),"",SUMIFS($D$5:$D$504,$A$5:$A$504,A451,$B$5:$B$504,B451)+SUMIFS($E$5:$E$504,$A$5:$A$504,A451,$B$5:$B$504,B451)-SUMIFS($F$5:$F$504,$A$5:$A$504,A451,$B$5:$B$504,B451))</f>
        <v/>
      </c>
      <c r="H451" s="33" t="str">
        <f aca="false">IF(OR(B451="",AND(A451=A450 ,B451=B450)),"",SUMIFS($F$5:$F$504,$A$5:$A$504,A451,$B$5:$B$504,B451))</f>
        <v/>
      </c>
      <c r="I451" s="34"/>
      <c r="J451" s="35"/>
    </row>
    <row r="452" customFormat="false" ht="15" hidden="false" customHeight="false" outlineLevel="0" collapsed="false">
      <c r="A452" s="32"/>
      <c r="B452" s="29"/>
      <c r="C452" s="29"/>
      <c r="D452" s="25"/>
      <c r="E452" s="25"/>
      <c r="F452" s="25"/>
      <c r="G452" s="33" t="str">
        <f aca="false">IF(OR(B452="",AND(A452=A451 ,B452=B451)),"",SUMIFS($D$5:$D$504,$A$5:$A$504,A452,$B$5:$B$504,B452)+SUMIFS($E$5:$E$504,$A$5:$A$504,A452,$B$5:$B$504,B452)-SUMIFS($F$5:$F$504,$A$5:$A$504,A452,$B$5:$B$504,B452))</f>
        <v/>
      </c>
      <c r="H452" s="33" t="str">
        <f aca="false">IF(OR(B452="",AND(A452=A451 ,B452=B451)),"",SUMIFS($F$5:$F$504,$A$5:$A$504,A452,$B$5:$B$504,B452))</f>
        <v/>
      </c>
      <c r="I452" s="34"/>
      <c r="J452" s="35"/>
    </row>
    <row r="453" customFormat="false" ht="15" hidden="false" customHeight="false" outlineLevel="0" collapsed="false">
      <c r="A453" s="32"/>
      <c r="B453" s="29"/>
      <c r="C453" s="29"/>
      <c r="D453" s="25"/>
      <c r="E453" s="25"/>
      <c r="F453" s="25"/>
      <c r="G453" s="33" t="str">
        <f aca="false">IF(OR(B453="",AND(A453=A452 ,B453=B452)),"",SUMIFS($D$5:$D$504,$A$5:$A$504,A453,$B$5:$B$504,B453)+SUMIFS($E$5:$E$504,$A$5:$A$504,A453,$B$5:$B$504,B453)-SUMIFS($F$5:$F$504,$A$5:$A$504,A453,$B$5:$B$504,B453))</f>
        <v/>
      </c>
      <c r="H453" s="33" t="str">
        <f aca="false">IF(OR(B453="",AND(A453=A452 ,B453=B452)),"",SUMIFS($F$5:$F$504,$A$5:$A$504,A453,$B$5:$B$504,B453))</f>
        <v/>
      </c>
      <c r="I453" s="34"/>
      <c r="J453" s="35"/>
    </row>
    <row r="454" customFormat="false" ht="15" hidden="false" customHeight="false" outlineLevel="0" collapsed="false">
      <c r="A454" s="32"/>
      <c r="B454" s="29"/>
      <c r="C454" s="29"/>
      <c r="D454" s="25"/>
      <c r="E454" s="25"/>
      <c r="F454" s="25"/>
      <c r="G454" s="33" t="str">
        <f aca="false">IF(OR(B454="",AND(A454=A453 ,B454=B453)),"",SUMIFS($D$5:$D$504,$A$5:$A$504,A454,$B$5:$B$504,B454)+SUMIFS($E$5:$E$504,$A$5:$A$504,A454,$B$5:$B$504,B454)-SUMIFS($F$5:$F$504,$A$5:$A$504,A454,$B$5:$B$504,B454))</f>
        <v/>
      </c>
      <c r="H454" s="33" t="str">
        <f aca="false">IF(OR(B454="",AND(A454=A453 ,B454=B453)),"",SUMIFS($F$5:$F$504,$A$5:$A$504,A454,$B$5:$B$504,B454))</f>
        <v/>
      </c>
      <c r="I454" s="34"/>
      <c r="J454" s="35"/>
    </row>
    <row r="455" customFormat="false" ht="15" hidden="false" customHeight="false" outlineLevel="0" collapsed="false">
      <c r="A455" s="32"/>
      <c r="B455" s="29"/>
      <c r="C455" s="29"/>
      <c r="D455" s="25"/>
      <c r="E455" s="25"/>
      <c r="F455" s="25"/>
      <c r="G455" s="33" t="str">
        <f aca="false">IF(OR(B455="",AND(A455=A454 ,B455=B454)),"",SUMIFS($D$5:$D$504,$A$5:$A$504,A455,$B$5:$B$504,B455)+SUMIFS($E$5:$E$504,$A$5:$A$504,A455,$B$5:$B$504,B455)-SUMIFS($F$5:$F$504,$A$5:$A$504,A455,$B$5:$B$504,B455))</f>
        <v/>
      </c>
      <c r="H455" s="33" t="str">
        <f aca="false">IF(OR(B455="",AND(A455=A454 ,B455=B454)),"",SUMIFS($F$5:$F$504,$A$5:$A$504,A455,$B$5:$B$504,B455))</f>
        <v/>
      </c>
      <c r="I455" s="34"/>
      <c r="J455" s="35"/>
    </row>
    <row r="456" customFormat="false" ht="15" hidden="false" customHeight="false" outlineLevel="0" collapsed="false">
      <c r="A456" s="32"/>
      <c r="B456" s="29"/>
      <c r="C456" s="29"/>
      <c r="D456" s="25"/>
      <c r="E456" s="25"/>
      <c r="F456" s="25"/>
      <c r="G456" s="33" t="str">
        <f aca="false">IF(OR(B456="",AND(A456=A455 ,B456=B455)),"",SUMIFS($D$5:$D$504,$A$5:$A$504,A456,$B$5:$B$504,B456)+SUMIFS($E$5:$E$504,$A$5:$A$504,A456,$B$5:$B$504,B456)-SUMIFS($F$5:$F$504,$A$5:$A$504,A456,$B$5:$B$504,B456))</f>
        <v/>
      </c>
      <c r="H456" s="33" t="str">
        <f aca="false">IF(OR(B456="",AND(A456=A455 ,B456=B455)),"",SUMIFS($F$5:$F$504,$A$5:$A$504,A456,$B$5:$B$504,B456))</f>
        <v/>
      </c>
      <c r="I456" s="34"/>
      <c r="J456" s="35"/>
    </row>
    <row r="457" customFormat="false" ht="15" hidden="false" customHeight="false" outlineLevel="0" collapsed="false">
      <c r="A457" s="32"/>
      <c r="B457" s="29"/>
      <c r="C457" s="29"/>
      <c r="D457" s="25"/>
      <c r="E457" s="25"/>
      <c r="F457" s="25"/>
      <c r="G457" s="33" t="str">
        <f aca="false">IF(OR(B457="",AND(A457=A456 ,B457=B456)),"",SUMIFS($D$5:$D$504,$A$5:$A$504,A457,$B$5:$B$504,B457)+SUMIFS($E$5:$E$504,$A$5:$A$504,A457,$B$5:$B$504,B457)-SUMIFS($F$5:$F$504,$A$5:$A$504,A457,$B$5:$B$504,B457))</f>
        <v/>
      </c>
      <c r="H457" s="33" t="str">
        <f aca="false">IF(OR(B457="",AND(A457=A456 ,B457=B456)),"",SUMIFS($F$5:$F$504,$A$5:$A$504,A457,$B$5:$B$504,B457))</f>
        <v/>
      </c>
      <c r="I457" s="34"/>
      <c r="J457" s="35"/>
    </row>
    <row r="458" customFormat="false" ht="15" hidden="false" customHeight="false" outlineLevel="0" collapsed="false">
      <c r="A458" s="32"/>
      <c r="B458" s="29"/>
      <c r="C458" s="29"/>
      <c r="D458" s="25"/>
      <c r="E458" s="25"/>
      <c r="F458" s="25"/>
      <c r="G458" s="33" t="str">
        <f aca="false">IF(OR(B458="",AND(A458=A457 ,B458=B457)),"",SUMIFS($D$5:$D$504,$A$5:$A$504,A458,$B$5:$B$504,B458)+SUMIFS($E$5:$E$504,$A$5:$A$504,A458,$B$5:$B$504,B458)-SUMIFS($F$5:$F$504,$A$5:$A$504,A458,$B$5:$B$504,B458))</f>
        <v/>
      </c>
      <c r="H458" s="33" t="str">
        <f aca="false">IF(OR(B458="",AND(A458=A457 ,B458=B457)),"",SUMIFS($F$5:$F$504,$A$5:$A$504,A458,$B$5:$B$504,B458))</f>
        <v/>
      </c>
      <c r="I458" s="34"/>
      <c r="J458" s="35"/>
    </row>
    <row r="459" customFormat="false" ht="15" hidden="false" customHeight="false" outlineLevel="0" collapsed="false">
      <c r="A459" s="32"/>
      <c r="B459" s="29"/>
      <c r="C459" s="29"/>
      <c r="D459" s="25"/>
      <c r="E459" s="25"/>
      <c r="F459" s="25"/>
      <c r="G459" s="33" t="str">
        <f aca="false">IF(OR(B459="",AND(A459=A458 ,B459=B458)),"",SUMIFS($D$5:$D$504,$A$5:$A$504,A459,$B$5:$B$504,B459)+SUMIFS($E$5:$E$504,$A$5:$A$504,A459,$B$5:$B$504,B459)-SUMIFS($F$5:$F$504,$A$5:$A$504,A459,$B$5:$B$504,B459))</f>
        <v/>
      </c>
      <c r="H459" s="33" t="str">
        <f aca="false">IF(OR(B459="",AND(A459=A458 ,B459=B458)),"",SUMIFS($F$5:$F$504,$A$5:$A$504,A459,$B$5:$B$504,B459))</f>
        <v/>
      </c>
      <c r="I459" s="34"/>
      <c r="J459" s="35"/>
    </row>
    <row r="460" customFormat="false" ht="15" hidden="false" customHeight="false" outlineLevel="0" collapsed="false">
      <c r="A460" s="32"/>
      <c r="B460" s="29"/>
      <c r="C460" s="29"/>
      <c r="D460" s="25"/>
      <c r="E460" s="25"/>
      <c r="F460" s="25"/>
      <c r="G460" s="33" t="str">
        <f aca="false">IF(OR(B460="",AND(A460=A459 ,B460=B459)),"",SUMIFS($D$5:$D$504,$A$5:$A$504,A460,$B$5:$B$504,B460)+SUMIFS($E$5:$E$504,$A$5:$A$504,A460,$B$5:$B$504,B460)-SUMIFS($F$5:$F$504,$A$5:$A$504,A460,$B$5:$B$504,B460))</f>
        <v/>
      </c>
      <c r="H460" s="33" t="str">
        <f aca="false">IF(OR(B460="",AND(A460=A459 ,B460=B459)),"",SUMIFS($F$5:$F$504,$A$5:$A$504,A460,$B$5:$B$504,B460))</f>
        <v/>
      </c>
      <c r="I460" s="34"/>
      <c r="J460" s="35"/>
    </row>
    <row r="461" customFormat="false" ht="15" hidden="false" customHeight="false" outlineLevel="0" collapsed="false">
      <c r="A461" s="32"/>
      <c r="B461" s="29"/>
      <c r="C461" s="29"/>
      <c r="D461" s="25"/>
      <c r="E461" s="25"/>
      <c r="F461" s="25"/>
      <c r="G461" s="33" t="str">
        <f aca="false">IF(OR(B461="",AND(A461=A460 ,B461=B460)),"",SUMIFS($D$5:$D$504,$A$5:$A$504,A461,$B$5:$B$504,B461)+SUMIFS($E$5:$E$504,$A$5:$A$504,A461,$B$5:$B$504,B461)-SUMIFS($F$5:$F$504,$A$5:$A$504,A461,$B$5:$B$504,B461))</f>
        <v/>
      </c>
      <c r="H461" s="33" t="str">
        <f aca="false">IF(OR(B461="",AND(A461=A460 ,B461=B460)),"",SUMIFS($F$5:$F$504,$A$5:$A$504,A461,$B$5:$B$504,B461))</f>
        <v/>
      </c>
      <c r="I461" s="34"/>
      <c r="J461" s="35"/>
    </row>
    <row r="462" customFormat="false" ht="15" hidden="false" customHeight="false" outlineLevel="0" collapsed="false">
      <c r="A462" s="32"/>
      <c r="B462" s="29"/>
      <c r="C462" s="29"/>
      <c r="D462" s="25"/>
      <c r="E462" s="25"/>
      <c r="F462" s="25"/>
      <c r="G462" s="33" t="str">
        <f aca="false">IF(OR(B462="",AND(A462=A461 ,B462=B461)),"",SUMIFS($D$5:$D$504,$A$5:$A$504,A462,$B$5:$B$504,B462)+SUMIFS($E$5:$E$504,$A$5:$A$504,A462,$B$5:$B$504,B462)-SUMIFS($F$5:$F$504,$A$5:$A$504,A462,$B$5:$B$504,B462))</f>
        <v/>
      </c>
      <c r="H462" s="33" t="str">
        <f aca="false">IF(OR(B462="",AND(A462=A461 ,B462=B461)),"",SUMIFS($F$5:$F$504,$A$5:$A$504,A462,$B$5:$B$504,B462))</f>
        <v/>
      </c>
      <c r="I462" s="34"/>
      <c r="J462" s="35"/>
    </row>
    <row r="463" customFormat="false" ht="15" hidden="false" customHeight="false" outlineLevel="0" collapsed="false">
      <c r="A463" s="32"/>
      <c r="B463" s="29"/>
      <c r="C463" s="29"/>
      <c r="D463" s="25"/>
      <c r="E463" s="25"/>
      <c r="F463" s="25"/>
      <c r="G463" s="33" t="str">
        <f aca="false">IF(OR(B463="",AND(A463=A462 ,B463=B462)),"",SUMIFS($D$5:$D$504,$A$5:$A$504,A463,$B$5:$B$504,B463)+SUMIFS($E$5:$E$504,$A$5:$A$504,A463,$B$5:$B$504,B463)-SUMIFS($F$5:$F$504,$A$5:$A$504,A463,$B$5:$B$504,B463))</f>
        <v/>
      </c>
      <c r="H463" s="33" t="str">
        <f aca="false">IF(OR(B463="",AND(A463=A462 ,B463=B462)),"",SUMIFS($F$5:$F$504,$A$5:$A$504,A463,$B$5:$B$504,B463))</f>
        <v/>
      </c>
      <c r="I463" s="34"/>
      <c r="J463" s="35"/>
    </row>
    <row r="464" customFormat="false" ht="15" hidden="false" customHeight="false" outlineLevel="0" collapsed="false">
      <c r="A464" s="32"/>
      <c r="B464" s="29"/>
      <c r="C464" s="29"/>
      <c r="D464" s="25"/>
      <c r="E464" s="25"/>
      <c r="F464" s="25"/>
      <c r="G464" s="33" t="str">
        <f aca="false">IF(OR(B464="",AND(A464=A463 ,B464=B463)),"",SUMIFS($D$5:$D$504,$A$5:$A$504,A464,$B$5:$B$504,B464)+SUMIFS($E$5:$E$504,$A$5:$A$504,A464,$B$5:$B$504,B464)-SUMIFS($F$5:$F$504,$A$5:$A$504,A464,$B$5:$B$504,B464))</f>
        <v/>
      </c>
      <c r="H464" s="33" t="str">
        <f aca="false">IF(OR(B464="",AND(A464=A463 ,B464=B463)),"",SUMIFS($F$5:$F$504,$A$5:$A$504,A464,$B$5:$B$504,B464))</f>
        <v/>
      </c>
      <c r="I464" s="34"/>
      <c r="J464" s="35"/>
    </row>
    <row r="465" customFormat="false" ht="15" hidden="false" customHeight="false" outlineLevel="0" collapsed="false">
      <c r="A465" s="32"/>
      <c r="B465" s="29"/>
      <c r="C465" s="29"/>
      <c r="D465" s="25"/>
      <c r="E465" s="25"/>
      <c r="F465" s="25"/>
      <c r="G465" s="33" t="str">
        <f aca="false">IF(OR(B465="",AND(A465=A464 ,B465=B464)),"",SUMIFS($D$5:$D$504,$A$5:$A$504,A465,$B$5:$B$504,B465)+SUMIFS($E$5:$E$504,$A$5:$A$504,A465,$B$5:$B$504,B465)-SUMIFS($F$5:$F$504,$A$5:$A$504,A465,$B$5:$B$504,B465))</f>
        <v/>
      </c>
      <c r="H465" s="33" t="str">
        <f aca="false">IF(OR(B465="",AND(A465=A464 ,B465=B464)),"",SUMIFS($F$5:$F$504,$A$5:$A$504,A465,$B$5:$B$504,B465))</f>
        <v/>
      </c>
      <c r="I465" s="34"/>
      <c r="J465" s="35"/>
    </row>
    <row r="466" customFormat="false" ht="15" hidden="false" customHeight="false" outlineLevel="0" collapsed="false">
      <c r="A466" s="32"/>
      <c r="B466" s="29"/>
      <c r="C466" s="29"/>
      <c r="D466" s="25"/>
      <c r="E466" s="25"/>
      <c r="F466" s="25"/>
      <c r="G466" s="33" t="str">
        <f aca="false">IF(OR(B466="",AND(A466=A465 ,B466=B465)),"",SUMIFS($D$5:$D$504,$A$5:$A$504,A466,$B$5:$B$504,B466)+SUMIFS($E$5:$E$504,$A$5:$A$504,A466,$B$5:$B$504,B466)-SUMIFS($F$5:$F$504,$A$5:$A$504,A466,$B$5:$B$504,B466))</f>
        <v/>
      </c>
      <c r="H466" s="33" t="str">
        <f aca="false">IF(OR(B466="",AND(A466=A465 ,B466=B465)),"",SUMIFS($F$5:$F$504,$A$5:$A$504,A466,$B$5:$B$504,B466))</f>
        <v/>
      </c>
      <c r="I466" s="34"/>
      <c r="J466" s="35"/>
    </row>
    <row r="467" customFormat="false" ht="15" hidden="false" customHeight="false" outlineLevel="0" collapsed="false">
      <c r="A467" s="32"/>
      <c r="B467" s="29"/>
      <c r="C467" s="29"/>
      <c r="D467" s="25"/>
      <c r="E467" s="25"/>
      <c r="F467" s="25"/>
      <c r="G467" s="33" t="str">
        <f aca="false">IF(OR(B467="",AND(A467=A466 ,B467=B466)),"",SUMIFS($D$5:$D$504,$A$5:$A$504,A467,$B$5:$B$504,B467)+SUMIFS($E$5:$E$504,$A$5:$A$504,A467,$B$5:$B$504,B467)-SUMIFS($F$5:$F$504,$A$5:$A$504,A467,$B$5:$B$504,B467))</f>
        <v/>
      </c>
      <c r="H467" s="33" t="str">
        <f aca="false">IF(OR(B467="",AND(A467=A466 ,B467=B466)),"",SUMIFS($F$5:$F$504,$A$5:$A$504,A467,$B$5:$B$504,B467))</f>
        <v/>
      </c>
      <c r="I467" s="34"/>
      <c r="J467" s="35"/>
    </row>
    <row r="468" customFormat="false" ht="15" hidden="false" customHeight="false" outlineLevel="0" collapsed="false">
      <c r="A468" s="32"/>
      <c r="B468" s="29"/>
      <c r="C468" s="29"/>
      <c r="D468" s="25"/>
      <c r="E468" s="25"/>
      <c r="F468" s="25"/>
      <c r="G468" s="33" t="str">
        <f aca="false">IF(OR(B468="",AND(A468=A467 ,B468=B467)),"",SUMIFS($D$5:$D$504,$A$5:$A$504,A468,$B$5:$B$504,B468)+SUMIFS($E$5:$E$504,$A$5:$A$504,A468,$B$5:$B$504,B468)-SUMIFS($F$5:$F$504,$A$5:$A$504,A468,$B$5:$B$504,B468))</f>
        <v/>
      </c>
      <c r="H468" s="33" t="str">
        <f aca="false">IF(OR(B468="",AND(A468=A467 ,B468=B467)),"",SUMIFS($F$5:$F$504,$A$5:$A$504,A468,$B$5:$B$504,B468))</f>
        <v/>
      </c>
      <c r="I468" s="34"/>
      <c r="J468" s="35"/>
    </row>
    <row r="469" customFormat="false" ht="15" hidden="false" customHeight="false" outlineLevel="0" collapsed="false">
      <c r="A469" s="32"/>
      <c r="B469" s="29"/>
      <c r="C469" s="29"/>
      <c r="D469" s="25"/>
      <c r="E469" s="25"/>
      <c r="F469" s="25"/>
      <c r="G469" s="33" t="str">
        <f aca="false">IF(OR(B469="",AND(A469=A468 ,B469=B468)),"",SUMIFS($D$5:$D$504,$A$5:$A$504,A469,$B$5:$B$504,B469)+SUMIFS($E$5:$E$504,$A$5:$A$504,A469,$B$5:$B$504,B469)-SUMIFS($F$5:$F$504,$A$5:$A$504,A469,$B$5:$B$504,B469))</f>
        <v/>
      </c>
      <c r="H469" s="33" t="str">
        <f aca="false">IF(OR(B469="",AND(A469=A468 ,B469=B468)),"",SUMIFS($F$5:$F$504,$A$5:$A$504,A469,$B$5:$B$504,B469))</f>
        <v/>
      </c>
      <c r="I469" s="34"/>
      <c r="J469" s="35"/>
    </row>
    <row r="470" customFormat="false" ht="15" hidden="false" customHeight="false" outlineLevel="0" collapsed="false">
      <c r="A470" s="32"/>
      <c r="B470" s="29"/>
      <c r="C470" s="29"/>
      <c r="D470" s="25"/>
      <c r="E470" s="25"/>
      <c r="F470" s="25"/>
      <c r="G470" s="33" t="str">
        <f aca="false">IF(OR(B470="",AND(A470=A469 ,B470=B469)),"",SUMIFS($D$5:$D$504,$A$5:$A$504,A470,$B$5:$B$504,B470)+SUMIFS($E$5:$E$504,$A$5:$A$504,A470,$B$5:$B$504,B470)-SUMIFS($F$5:$F$504,$A$5:$A$504,A470,$B$5:$B$504,B470))</f>
        <v/>
      </c>
      <c r="H470" s="33" t="str">
        <f aca="false">IF(OR(B470="",AND(A470=A469 ,B470=B469)),"",SUMIFS($F$5:$F$504,$A$5:$A$504,A470,$B$5:$B$504,B470))</f>
        <v/>
      </c>
      <c r="I470" s="34"/>
      <c r="J470" s="35"/>
    </row>
    <row r="471" customFormat="false" ht="15" hidden="false" customHeight="false" outlineLevel="0" collapsed="false">
      <c r="A471" s="32"/>
      <c r="B471" s="29"/>
      <c r="C471" s="29"/>
      <c r="D471" s="25"/>
      <c r="E471" s="25"/>
      <c r="F471" s="25"/>
      <c r="G471" s="33" t="str">
        <f aca="false">IF(OR(B471="",AND(A471=A470 ,B471=B470)),"",SUMIFS($D$5:$D$504,$A$5:$A$504,A471,$B$5:$B$504,B471)+SUMIFS($E$5:$E$504,$A$5:$A$504,A471,$B$5:$B$504,B471)-SUMIFS($F$5:$F$504,$A$5:$A$504,A471,$B$5:$B$504,B471))</f>
        <v/>
      </c>
      <c r="H471" s="33" t="str">
        <f aca="false">IF(OR(B471="",AND(A471=A470 ,B471=B470)),"",SUMIFS($F$5:$F$504,$A$5:$A$504,A471,$B$5:$B$504,B471))</f>
        <v/>
      </c>
      <c r="I471" s="34"/>
      <c r="J471" s="35"/>
    </row>
    <row r="472" customFormat="false" ht="15" hidden="false" customHeight="false" outlineLevel="0" collapsed="false">
      <c r="A472" s="32"/>
      <c r="B472" s="29"/>
      <c r="C472" s="29"/>
      <c r="D472" s="25"/>
      <c r="E472" s="25"/>
      <c r="F472" s="25"/>
      <c r="G472" s="33" t="str">
        <f aca="false">IF(OR(B472="",AND(A472=A471 ,B472=B471)),"",SUMIFS($D$5:$D$504,$A$5:$A$504,A472,$B$5:$B$504,B472)+SUMIFS($E$5:$E$504,$A$5:$A$504,A472,$B$5:$B$504,B472)-SUMIFS($F$5:$F$504,$A$5:$A$504,A472,$B$5:$B$504,B472))</f>
        <v/>
      </c>
      <c r="H472" s="33" t="str">
        <f aca="false">IF(OR(B472="",AND(A472=A471 ,B472=B471)),"",SUMIFS($F$5:$F$504,$A$5:$A$504,A472,$B$5:$B$504,B472))</f>
        <v/>
      </c>
      <c r="I472" s="34"/>
      <c r="J472" s="35"/>
    </row>
    <row r="473" customFormat="false" ht="15" hidden="false" customHeight="false" outlineLevel="0" collapsed="false">
      <c r="A473" s="32"/>
      <c r="B473" s="29"/>
      <c r="C473" s="29"/>
      <c r="D473" s="25"/>
      <c r="E473" s="25"/>
      <c r="F473" s="25"/>
      <c r="G473" s="33" t="str">
        <f aca="false">IF(OR(B473="",AND(A473=A472 ,B473=B472)),"",SUMIFS($D$5:$D$504,$A$5:$A$504,A473,$B$5:$B$504,B473)+SUMIFS($E$5:$E$504,$A$5:$A$504,A473,$B$5:$B$504,B473)-SUMIFS($F$5:$F$504,$A$5:$A$504,A473,$B$5:$B$504,B473))</f>
        <v/>
      </c>
      <c r="H473" s="33" t="str">
        <f aca="false">IF(OR(B473="",AND(A473=A472 ,B473=B472)),"",SUMIFS($F$5:$F$504,$A$5:$A$504,A473,$B$5:$B$504,B473))</f>
        <v/>
      </c>
      <c r="I473" s="34"/>
      <c r="J473" s="35"/>
    </row>
    <row r="474" customFormat="false" ht="15" hidden="false" customHeight="false" outlineLevel="0" collapsed="false">
      <c r="A474" s="32"/>
      <c r="B474" s="29"/>
      <c r="C474" s="29"/>
      <c r="D474" s="25"/>
      <c r="E474" s="25"/>
      <c r="F474" s="25"/>
      <c r="G474" s="33" t="str">
        <f aca="false">IF(OR(B474="",AND(A474=A473 ,B474=B473)),"",SUMIFS($D$5:$D$504,$A$5:$A$504,A474,$B$5:$B$504,B474)+SUMIFS($E$5:$E$504,$A$5:$A$504,A474,$B$5:$B$504,B474)-SUMIFS($F$5:$F$504,$A$5:$A$504,A474,$B$5:$B$504,B474))</f>
        <v/>
      </c>
      <c r="H474" s="33" t="str">
        <f aca="false">IF(OR(B474="",AND(A474=A473 ,B474=B473)),"",SUMIFS($F$5:$F$504,$A$5:$A$504,A474,$B$5:$B$504,B474))</f>
        <v/>
      </c>
      <c r="I474" s="34"/>
      <c r="J474" s="35"/>
    </row>
    <row r="475" customFormat="false" ht="15" hidden="false" customHeight="false" outlineLevel="0" collapsed="false">
      <c r="A475" s="32"/>
      <c r="B475" s="29"/>
      <c r="C475" s="29"/>
      <c r="D475" s="25"/>
      <c r="E475" s="25"/>
      <c r="F475" s="25"/>
      <c r="G475" s="33" t="str">
        <f aca="false">IF(OR(B475="",AND(A475=A474 ,B475=B474)),"",SUMIFS($D$5:$D$504,$A$5:$A$504,A475,$B$5:$B$504,B475)+SUMIFS($E$5:$E$504,$A$5:$A$504,A475,$B$5:$B$504,B475)-SUMIFS($F$5:$F$504,$A$5:$A$504,A475,$B$5:$B$504,B475))</f>
        <v/>
      </c>
      <c r="H475" s="33" t="str">
        <f aca="false">IF(OR(B475="",AND(A475=A474 ,B475=B474)),"",SUMIFS($F$5:$F$504,$A$5:$A$504,A475,$B$5:$B$504,B475))</f>
        <v/>
      </c>
      <c r="I475" s="34"/>
      <c r="J475" s="35"/>
    </row>
    <row r="476" customFormat="false" ht="15" hidden="false" customHeight="false" outlineLevel="0" collapsed="false">
      <c r="A476" s="32"/>
      <c r="B476" s="29"/>
      <c r="C476" s="29"/>
      <c r="D476" s="25"/>
      <c r="E476" s="25"/>
      <c r="F476" s="25"/>
      <c r="G476" s="33" t="str">
        <f aca="false">IF(OR(B476="",AND(A476=A475 ,B476=B475)),"",SUMIFS($D$5:$D$504,$A$5:$A$504,A476,$B$5:$B$504,B476)+SUMIFS($E$5:$E$504,$A$5:$A$504,A476,$B$5:$B$504,B476)-SUMIFS($F$5:$F$504,$A$5:$A$504,A476,$B$5:$B$504,B476))</f>
        <v/>
      </c>
      <c r="H476" s="33" t="str">
        <f aca="false">IF(OR(B476="",AND(A476=A475 ,B476=B475)),"",SUMIFS($F$5:$F$504,$A$5:$A$504,A476,$B$5:$B$504,B476))</f>
        <v/>
      </c>
      <c r="I476" s="34"/>
      <c r="J476" s="35"/>
    </row>
    <row r="477" customFormat="false" ht="15" hidden="false" customHeight="false" outlineLevel="0" collapsed="false">
      <c r="A477" s="32"/>
      <c r="B477" s="29"/>
      <c r="C477" s="29"/>
      <c r="D477" s="25"/>
      <c r="E477" s="25"/>
      <c r="F477" s="25"/>
      <c r="G477" s="33" t="str">
        <f aca="false">IF(OR(B477="",AND(A477=A476 ,B477=B476)),"",SUMIFS($D$5:$D$504,$A$5:$A$504,A477,$B$5:$B$504,B477)+SUMIFS($E$5:$E$504,$A$5:$A$504,A477,$B$5:$B$504,B477)-SUMIFS($F$5:$F$504,$A$5:$A$504,A477,$B$5:$B$504,B477))</f>
        <v/>
      </c>
      <c r="H477" s="33" t="str">
        <f aca="false">IF(OR(B477="",AND(A477=A476 ,B477=B476)),"",SUMIFS($F$5:$F$504,$A$5:$A$504,A477,$B$5:$B$504,B477))</f>
        <v/>
      </c>
      <c r="I477" s="34"/>
      <c r="J477" s="35"/>
    </row>
    <row r="478" customFormat="false" ht="15" hidden="false" customHeight="false" outlineLevel="0" collapsed="false">
      <c r="A478" s="32"/>
      <c r="B478" s="29"/>
      <c r="C478" s="29"/>
      <c r="D478" s="25"/>
      <c r="E478" s="25"/>
      <c r="F478" s="25"/>
      <c r="G478" s="33" t="str">
        <f aca="false">IF(OR(B478="",AND(A478=A477 ,B478=B477)),"",SUMIFS($D$5:$D$504,$A$5:$A$504,A478,$B$5:$B$504,B478)+SUMIFS($E$5:$E$504,$A$5:$A$504,A478,$B$5:$B$504,B478)-SUMIFS($F$5:$F$504,$A$5:$A$504,A478,$B$5:$B$504,B478))</f>
        <v/>
      </c>
      <c r="H478" s="33" t="str">
        <f aca="false">IF(OR(B478="",AND(A478=A477 ,B478=B477)),"",SUMIFS($F$5:$F$504,$A$5:$A$504,A478,$B$5:$B$504,B478))</f>
        <v/>
      </c>
      <c r="I478" s="34"/>
      <c r="J478" s="35"/>
    </row>
    <row r="479" customFormat="false" ht="15" hidden="false" customHeight="false" outlineLevel="0" collapsed="false">
      <c r="A479" s="32"/>
      <c r="B479" s="29"/>
      <c r="C479" s="29"/>
      <c r="D479" s="25"/>
      <c r="E479" s="25"/>
      <c r="F479" s="25"/>
      <c r="G479" s="33" t="str">
        <f aca="false">IF(OR(B479="",AND(A479=A478 ,B479=B478)),"",SUMIFS($D$5:$D$504,$A$5:$A$504,A479,$B$5:$B$504,B479)+SUMIFS($E$5:$E$504,$A$5:$A$504,A479,$B$5:$B$504,B479)-SUMIFS($F$5:$F$504,$A$5:$A$504,A479,$B$5:$B$504,B479))</f>
        <v/>
      </c>
      <c r="H479" s="33" t="str">
        <f aca="false">IF(OR(B479="",AND(A479=A478 ,B479=B478)),"",SUMIFS($F$5:$F$504,$A$5:$A$504,A479,$B$5:$B$504,B479))</f>
        <v/>
      </c>
      <c r="I479" s="34"/>
      <c r="J479" s="35"/>
    </row>
    <row r="480" customFormat="false" ht="15" hidden="false" customHeight="false" outlineLevel="0" collapsed="false">
      <c r="A480" s="32"/>
      <c r="B480" s="29"/>
      <c r="C480" s="29"/>
      <c r="D480" s="25"/>
      <c r="E480" s="25"/>
      <c r="F480" s="25"/>
      <c r="G480" s="33" t="str">
        <f aca="false">IF(OR(B480="",AND(A480=A479 ,B480=B479)),"",SUMIFS($D$5:$D$504,$A$5:$A$504,A480,$B$5:$B$504,B480)+SUMIFS($E$5:$E$504,$A$5:$A$504,A480,$B$5:$B$504,B480)-SUMIFS($F$5:$F$504,$A$5:$A$504,A480,$B$5:$B$504,B480))</f>
        <v/>
      </c>
      <c r="H480" s="33" t="str">
        <f aca="false">IF(OR(B480="",AND(A480=A479 ,B480=B479)),"",SUMIFS($F$5:$F$504,$A$5:$A$504,A480,$B$5:$B$504,B480))</f>
        <v/>
      </c>
      <c r="I480" s="34"/>
      <c r="J480" s="35"/>
    </row>
    <row r="481" customFormat="false" ht="15" hidden="false" customHeight="false" outlineLevel="0" collapsed="false">
      <c r="A481" s="32"/>
      <c r="B481" s="29"/>
      <c r="C481" s="29"/>
      <c r="D481" s="25"/>
      <c r="E481" s="25"/>
      <c r="F481" s="25"/>
      <c r="G481" s="33" t="str">
        <f aca="false">IF(OR(B481="",AND(A481=A480 ,B481=B480)),"",SUMIFS($D$5:$D$504,$A$5:$A$504,A481,$B$5:$B$504,B481)+SUMIFS($E$5:$E$504,$A$5:$A$504,A481,$B$5:$B$504,B481)-SUMIFS($F$5:$F$504,$A$5:$A$504,A481,$B$5:$B$504,B481))</f>
        <v/>
      </c>
      <c r="H481" s="33" t="str">
        <f aca="false">IF(OR(B481="",AND(A481=A480 ,B481=B480)),"",SUMIFS($F$5:$F$504,$A$5:$A$504,A481,$B$5:$B$504,B481))</f>
        <v/>
      </c>
      <c r="I481" s="34"/>
      <c r="J481" s="35"/>
    </row>
    <row r="482" customFormat="false" ht="15" hidden="false" customHeight="false" outlineLevel="0" collapsed="false">
      <c r="A482" s="32"/>
      <c r="B482" s="29"/>
      <c r="C482" s="29"/>
      <c r="D482" s="25"/>
      <c r="E482" s="25"/>
      <c r="F482" s="25"/>
      <c r="G482" s="33" t="str">
        <f aca="false">IF(OR(B482="",AND(A482=A481 ,B482=B481)),"",SUMIFS($D$5:$D$504,$A$5:$A$504,A482,$B$5:$B$504,B482)+SUMIFS($E$5:$E$504,$A$5:$A$504,A482,$B$5:$B$504,B482)-SUMIFS($F$5:$F$504,$A$5:$A$504,A482,$B$5:$B$504,B482))</f>
        <v/>
      </c>
      <c r="H482" s="33" t="str">
        <f aca="false">IF(OR(B482="",AND(A482=A481 ,B482=B481)),"",SUMIFS($F$5:$F$504,$A$5:$A$504,A482,$B$5:$B$504,B482))</f>
        <v/>
      </c>
      <c r="I482" s="34"/>
      <c r="J482" s="35"/>
    </row>
    <row r="483" customFormat="false" ht="15" hidden="false" customHeight="false" outlineLevel="0" collapsed="false">
      <c r="A483" s="32"/>
      <c r="B483" s="29"/>
      <c r="C483" s="29"/>
      <c r="D483" s="25"/>
      <c r="E483" s="25"/>
      <c r="F483" s="25"/>
      <c r="G483" s="33" t="str">
        <f aca="false">IF(OR(B483="",AND(A483=A482 ,B483=B482)),"",SUMIFS($D$5:$D$504,$A$5:$A$504,A483,$B$5:$B$504,B483)+SUMIFS($E$5:$E$504,$A$5:$A$504,A483,$B$5:$B$504,B483)-SUMIFS($F$5:$F$504,$A$5:$A$504,A483,$B$5:$B$504,B483))</f>
        <v/>
      </c>
      <c r="H483" s="33" t="str">
        <f aca="false">IF(OR(B483="",AND(A483=A482 ,B483=B482)),"",SUMIFS($F$5:$F$504,$A$5:$A$504,A483,$B$5:$B$504,B483))</f>
        <v/>
      </c>
      <c r="I483" s="34"/>
      <c r="J483" s="35"/>
    </row>
    <row r="484" customFormat="false" ht="15" hidden="false" customHeight="false" outlineLevel="0" collapsed="false">
      <c r="A484" s="32"/>
      <c r="B484" s="29"/>
      <c r="C484" s="29"/>
      <c r="D484" s="25"/>
      <c r="E484" s="25"/>
      <c r="F484" s="25"/>
      <c r="G484" s="33" t="str">
        <f aca="false">IF(OR(B484="",AND(A484=A483 ,B484=B483)),"",SUMIFS($D$5:$D$504,$A$5:$A$504,A484,$B$5:$B$504,B484)+SUMIFS($E$5:$E$504,$A$5:$A$504,A484,$B$5:$B$504,B484)-SUMIFS($F$5:$F$504,$A$5:$A$504,A484,$B$5:$B$504,B484))</f>
        <v/>
      </c>
      <c r="H484" s="33" t="str">
        <f aca="false">IF(OR(B484="",AND(A484=A483 ,B484=B483)),"",SUMIFS($F$5:$F$504,$A$5:$A$504,A484,$B$5:$B$504,B484))</f>
        <v/>
      </c>
      <c r="I484" s="34"/>
      <c r="J484" s="35"/>
    </row>
    <row r="485" customFormat="false" ht="15" hidden="false" customHeight="false" outlineLevel="0" collapsed="false">
      <c r="A485" s="32"/>
      <c r="B485" s="29"/>
      <c r="C485" s="29"/>
      <c r="D485" s="25"/>
      <c r="E485" s="25"/>
      <c r="F485" s="25"/>
      <c r="G485" s="33" t="str">
        <f aca="false">IF(OR(B485="",AND(A485=A484 ,B485=B484)),"",SUMIFS($D$5:$D$504,$A$5:$A$504,A485,$B$5:$B$504,B485)+SUMIFS($E$5:$E$504,$A$5:$A$504,A485,$B$5:$B$504,B485)-SUMIFS($F$5:$F$504,$A$5:$A$504,A485,$B$5:$B$504,B485))</f>
        <v/>
      </c>
      <c r="H485" s="33" t="str">
        <f aca="false">IF(OR(B485="",AND(A485=A484 ,B485=B484)),"",SUMIFS($F$5:$F$504,$A$5:$A$504,A485,$B$5:$B$504,B485))</f>
        <v/>
      </c>
      <c r="I485" s="34"/>
      <c r="J485" s="35"/>
    </row>
    <row r="486" customFormat="false" ht="15" hidden="false" customHeight="false" outlineLevel="0" collapsed="false">
      <c r="A486" s="32"/>
      <c r="B486" s="29"/>
      <c r="C486" s="29"/>
      <c r="D486" s="25"/>
      <c r="E486" s="25"/>
      <c r="F486" s="25"/>
      <c r="G486" s="33" t="str">
        <f aca="false">IF(OR(B486="",AND(A486=A485 ,B486=B485)),"",SUMIFS($D$5:$D$504,$A$5:$A$504,A486,$B$5:$B$504,B486)+SUMIFS($E$5:$E$504,$A$5:$A$504,A486,$B$5:$B$504,B486)-SUMIFS($F$5:$F$504,$A$5:$A$504,A486,$B$5:$B$504,B486))</f>
        <v/>
      </c>
      <c r="H486" s="33" t="str">
        <f aca="false">IF(OR(B486="",AND(A486=A485 ,B486=B485)),"",SUMIFS($F$5:$F$504,$A$5:$A$504,A486,$B$5:$B$504,B486))</f>
        <v/>
      </c>
      <c r="I486" s="34"/>
      <c r="J486" s="35"/>
    </row>
    <row r="487" customFormat="false" ht="15" hidden="false" customHeight="false" outlineLevel="0" collapsed="false">
      <c r="A487" s="32"/>
      <c r="B487" s="29"/>
      <c r="C487" s="29"/>
      <c r="D487" s="25"/>
      <c r="E487" s="25"/>
      <c r="F487" s="25"/>
      <c r="G487" s="33" t="str">
        <f aca="false">IF(OR(B487="",AND(A487=A486 ,B487=B486)),"",SUMIFS($D$5:$D$504,$A$5:$A$504,A487,$B$5:$B$504,B487)+SUMIFS($E$5:$E$504,$A$5:$A$504,A487,$B$5:$B$504,B487)-SUMIFS($F$5:$F$504,$A$5:$A$504,A487,$B$5:$B$504,B487))</f>
        <v/>
      </c>
      <c r="H487" s="33" t="str">
        <f aca="false">IF(OR(B487="",AND(A487=A486 ,B487=B486)),"",SUMIFS($F$5:$F$504,$A$5:$A$504,A487,$B$5:$B$504,B487))</f>
        <v/>
      </c>
      <c r="I487" s="34"/>
      <c r="J487" s="35"/>
    </row>
    <row r="488" customFormat="false" ht="15" hidden="false" customHeight="false" outlineLevel="0" collapsed="false">
      <c r="A488" s="32"/>
      <c r="B488" s="29"/>
      <c r="C488" s="29"/>
      <c r="D488" s="25"/>
      <c r="E488" s="25"/>
      <c r="F488" s="25"/>
      <c r="G488" s="33" t="str">
        <f aca="false">IF(OR(B488="",AND(A488=A487 ,B488=B487)),"",SUMIFS($D$5:$D$504,$A$5:$A$504,A488,$B$5:$B$504,B488)+SUMIFS($E$5:$E$504,$A$5:$A$504,A488,$B$5:$B$504,B488)-SUMIFS($F$5:$F$504,$A$5:$A$504,A488,$B$5:$B$504,B488))</f>
        <v/>
      </c>
      <c r="H488" s="33" t="str">
        <f aca="false">IF(OR(B488="",AND(A488=A487 ,B488=B487)),"",SUMIFS($F$5:$F$504,$A$5:$A$504,A488,$B$5:$B$504,B488))</f>
        <v/>
      </c>
      <c r="I488" s="34"/>
      <c r="J488" s="35"/>
    </row>
    <row r="489" customFormat="false" ht="15" hidden="false" customHeight="false" outlineLevel="0" collapsed="false">
      <c r="A489" s="32"/>
      <c r="B489" s="29"/>
      <c r="C489" s="29"/>
      <c r="D489" s="25"/>
      <c r="E489" s="25"/>
      <c r="F489" s="25"/>
      <c r="G489" s="33" t="str">
        <f aca="false">IF(OR(B489="",AND(A489=A488 ,B489=B488)),"",SUMIFS($D$5:$D$504,$A$5:$A$504,A489,$B$5:$B$504,B489)+SUMIFS($E$5:$E$504,$A$5:$A$504,A489,$B$5:$B$504,B489)-SUMIFS($F$5:$F$504,$A$5:$A$504,A489,$B$5:$B$504,B489))</f>
        <v/>
      </c>
      <c r="H489" s="33" t="str">
        <f aca="false">IF(OR(B489="",AND(A489=A488 ,B489=B488)),"",SUMIFS($F$5:$F$504,$A$5:$A$504,A489,$B$5:$B$504,B489))</f>
        <v/>
      </c>
      <c r="I489" s="34"/>
      <c r="J489" s="35"/>
    </row>
    <row r="490" customFormat="false" ht="15" hidden="false" customHeight="false" outlineLevel="0" collapsed="false">
      <c r="A490" s="32"/>
      <c r="B490" s="29"/>
      <c r="C490" s="29"/>
      <c r="D490" s="25"/>
      <c r="E490" s="25"/>
      <c r="F490" s="25"/>
      <c r="G490" s="33" t="str">
        <f aca="false">IF(OR(B490="",AND(A490=A489 ,B490=B489)),"",SUMIFS($D$5:$D$504,$A$5:$A$504,A490,$B$5:$B$504,B490)+SUMIFS($E$5:$E$504,$A$5:$A$504,A490,$B$5:$B$504,B490)-SUMIFS($F$5:$F$504,$A$5:$A$504,A490,$B$5:$B$504,B490))</f>
        <v/>
      </c>
      <c r="H490" s="33" t="str">
        <f aca="false">IF(OR(B490="",AND(A490=A489 ,B490=B489)),"",SUMIFS($F$5:$F$504,$A$5:$A$504,A490,$B$5:$B$504,B490))</f>
        <v/>
      </c>
      <c r="I490" s="34"/>
      <c r="J490" s="35"/>
    </row>
    <row r="491" customFormat="false" ht="15" hidden="false" customHeight="false" outlineLevel="0" collapsed="false">
      <c r="A491" s="32"/>
      <c r="B491" s="29"/>
      <c r="C491" s="29"/>
      <c r="D491" s="25"/>
      <c r="E491" s="25"/>
      <c r="F491" s="25"/>
      <c r="G491" s="33" t="str">
        <f aca="false">IF(OR(B491="",AND(A491=A490 ,B491=B490)),"",SUMIFS($D$5:$D$504,$A$5:$A$504,A491,$B$5:$B$504,B491)+SUMIFS($E$5:$E$504,$A$5:$A$504,A491,$B$5:$B$504,B491)-SUMIFS($F$5:$F$504,$A$5:$A$504,A491,$B$5:$B$504,B491))</f>
        <v/>
      </c>
      <c r="H491" s="33" t="str">
        <f aca="false">IF(OR(B491="",AND(A491=A490 ,B491=B490)),"",SUMIFS($F$5:$F$504,$A$5:$A$504,A491,$B$5:$B$504,B491))</f>
        <v/>
      </c>
      <c r="I491" s="34"/>
      <c r="J491" s="35"/>
    </row>
    <row r="492" customFormat="false" ht="15" hidden="false" customHeight="false" outlineLevel="0" collapsed="false">
      <c r="A492" s="32"/>
      <c r="B492" s="29"/>
      <c r="C492" s="29"/>
      <c r="D492" s="25"/>
      <c r="E492" s="25"/>
      <c r="F492" s="25"/>
      <c r="G492" s="33" t="str">
        <f aca="false">IF(OR(B492="",AND(A492=A491 ,B492=B491)),"",SUMIFS($D$5:$D$504,$A$5:$A$504,A492,$B$5:$B$504,B492)+SUMIFS($E$5:$E$504,$A$5:$A$504,A492,$B$5:$B$504,B492)-SUMIFS($F$5:$F$504,$A$5:$A$504,A492,$B$5:$B$504,B492))</f>
        <v/>
      </c>
      <c r="H492" s="33" t="str">
        <f aca="false">IF(OR(B492="",AND(A492=A491 ,B492=B491)),"",SUMIFS($F$5:$F$504,$A$5:$A$504,A492,$B$5:$B$504,B492))</f>
        <v/>
      </c>
      <c r="I492" s="34"/>
      <c r="J492" s="35"/>
    </row>
    <row r="493" customFormat="false" ht="15" hidden="false" customHeight="false" outlineLevel="0" collapsed="false">
      <c r="A493" s="32"/>
      <c r="B493" s="29"/>
      <c r="C493" s="29"/>
      <c r="D493" s="25"/>
      <c r="E493" s="25"/>
      <c r="F493" s="25"/>
      <c r="G493" s="33" t="str">
        <f aca="false">IF(OR(B493="",AND(A493=A492 ,B493=B492)),"",SUMIFS($D$5:$D$504,$A$5:$A$504,A493,$B$5:$B$504,B493)+SUMIFS($E$5:$E$504,$A$5:$A$504,A493,$B$5:$B$504,B493)-SUMIFS($F$5:$F$504,$A$5:$A$504,A493,$B$5:$B$504,B493))</f>
        <v/>
      </c>
      <c r="H493" s="33" t="str">
        <f aca="false">IF(OR(B493="",AND(A493=A492 ,B493=B492)),"",SUMIFS($F$5:$F$504,$A$5:$A$504,A493,$B$5:$B$504,B493))</f>
        <v/>
      </c>
      <c r="I493" s="34"/>
      <c r="J493" s="35"/>
    </row>
    <row r="494" customFormat="false" ht="15" hidden="false" customHeight="false" outlineLevel="0" collapsed="false">
      <c r="A494" s="32"/>
      <c r="B494" s="29"/>
      <c r="C494" s="29"/>
      <c r="D494" s="25"/>
      <c r="E494" s="25"/>
      <c r="F494" s="25"/>
      <c r="G494" s="33" t="str">
        <f aca="false">IF(OR(B494="",AND(A494=A493 ,B494=B493)),"",SUMIFS($D$5:$D$504,$A$5:$A$504,A494,$B$5:$B$504,B494)+SUMIFS($E$5:$E$504,$A$5:$A$504,A494,$B$5:$B$504,B494)-SUMIFS($F$5:$F$504,$A$5:$A$504,A494,$B$5:$B$504,B494))</f>
        <v/>
      </c>
      <c r="H494" s="33" t="str">
        <f aca="false">IF(OR(B494="",AND(A494=A493 ,B494=B493)),"",SUMIFS($F$5:$F$504,$A$5:$A$504,A494,$B$5:$B$504,B494))</f>
        <v/>
      </c>
      <c r="I494" s="34"/>
      <c r="J494" s="35"/>
    </row>
    <row r="495" customFormat="false" ht="15" hidden="false" customHeight="false" outlineLevel="0" collapsed="false">
      <c r="A495" s="32"/>
      <c r="B495" s="29"/>
      <c r="C495" s="29"/>
      <c r="D495" s="25"/>
      <c r="E495" s="25"/>
      <c r="F495" s="25"/>
      <c r="G495" s="33" t="str">
        <f aca="false">IF(OR(B495="",AND(A495=A494 ,B495=B494)),"",SUMIFS($D$5:$D$504,$A$5:$A$504,A495,$B$5:$B$504,B495)+SUMIFS($E$5:$E$504,$A$5:$A$504,A495,$B$5:$B$504,B495)-SUMIFS($F$5:$F$504,$A$5:$A$504,A495,$B$5:$B$504,B495))</f>
        <v/>
      </c>
      <c r="H495" s="33" t="str">
        <f aca="false">IF(OR(B495="",AND(A495=A494 ,B495=B494)),"",SUMIFS($F$5:$F$504,$A$5:$A$504,A495,$B$5:$B$504,B495))</f>
        <v/>
      </c>
      <c r="I495" s="34"/>
      <c r="J495" s="35"/>
    </row>
    <row r="496" customFormat="false" ht="15" hidden="false" customHeight="false" outlineLevel="0" collapsed="false">
      <c r="A496" s="32"/>
      <c r="B496" s="29"/>
      <c r="C496" s="29"/>
      <c r="D496" s="25"/>
      <c r="E496" s="25"/>
      <c r="F496" s="25"/>
      <c r="G496" s="33" t="str">
        <f aca="false">IF(OR(B496="",AND(A496=A495 ,B496=B495)),"",SUMIFS($D$5:$D$504,$A$5:$A$504,A496,$B$5:$B$504,B496)+SUMIFS($E$5:$E$504,$A$5:$A$504,A496,$B$5:$B$504,B496)-SUMIFS($F$5:$F$504,$A$5:$A$504,A496,$B$5:$B$504,B496))</f>
        <v/>
      </c>
      <c r="H496" s="33" t="str">
        <f aca="false">IF(OR(B496="",AND(A496=A495 ,B496=B495)),"",SUMIFS($F$5:$F$504,$A$5:$A$504,A496,$B$5:$B$504,B496))</f>
        <v/>
      </c>
      <c r="I496" s="34"/>
      <c r="J496" s="35"/>
    </row>
    <row r="497" customFormat="false" ht="15" hidden="false" customHeight="false" outlineLevel="0" collapsed="false">
      <c r="A497" s="32"/>
      <c r="B497" s="29"/>
      <c r="C497" s="29"/>
      <c r="D497" s="25"/>
      <c r="E497" s="25"/>
      <c r="F497" s="25"/>
      <c r="G497" s="33" t="str">
        <f aca="false">IF(OR(B497="",AND(A497=A496 ,B497=B496)),"",SUMIFS($D$5:$D$504,$A$5:$A$504,A497,$B$5:$B$504,B497)+SUMIFS($E$5:$E$504,$A$5:$A$504,A497,$B$5:$B$504,B497)-SUMIFS($F$5:$F$504,$A$5:$A$504,A497,$B$5:$B$504,B497))</f>
        <v/>
      </c>
      <c r="H497" s="33" t="str">
        <f aca="false">IF(OR(B497="",AND(A497=A496 ,B497=B496)),"",SUMIFS($F$5:$F$504,$A$5:$A$504,A497,$B$5:$B$504,B497))</f>
        <v/>
      </c>
      <c r="I497" s="34"/>
      <c r="J497" s="35"/>
    </row>
    <row r="498" customFormat="false" ht="15" hidden="false" customHeight="false" outlineLevel="0" collapsed="false">
      <c r="A498" s="32"/>
      <c r="B498" s="29"/>
      <c r="C498" s="29"/>
      <c r="D498" s="25"/>
      <c r="E498" s="25"/>
      <c r="F498" s="25"/>
      <c r="G498" s="33" t="str">
        <f aca="false">IF(OR(B498="",AND(A498=A497 ,B498=B497)),"",SUMIFS($D$5:$D$504,$A$5:$A$504,A498,$B$5:$B$504,B498)+SUMIFS($E$5:$E$504,$A$5:$A$504,A498,$B$5:$B$504,B498)-SUMIFS($F$5:$F$504,$A$5:$A$504,A498,$B$5:$B$504,B498))</f>
        <v/>
      </c>
      <c r="H498" s="33" t="str">
        <f aca="false">IF(OR(B498="",AND(A498=A497 ,B498=B497)),"",SUMIFS($F$5:$F$504,$A$5:$A$504,A498,$B$5:$B$504,B498))</f>
        <v/>
      </c>
      <c r="I498" s="34"/>
      <c r="J498" s="35"/>
    </row>
    <row r="499" customFormat="false" ht="15" hidden="false" customHeight="false" outlineLevel="0" collapsed="false">
      <c r="A499" s="32"/>
      <c r="B499" s="29"/>
      <c r="C499" s="29"/>
      <c r="D499" s="25"/>
      <c r="E499" s="25"/>
      <c r="F499" s="25"/>
      <c r="G499" s="33" t="str">
        <f aca="false">IF(OR(B499="",AND(A499=A498 ,B499=B498)),"",SUMIFS($D$5:$D$504,$A$5:$A$504,A499,$B$5:$B$504,B499)+SUMIFS($E$5:$E$504,$A$5:$A$504,A499,$B$5:$B$504,B499)-SUMIFS($F$5:$F$504,$A$5:$A$504,A499,$B$5:$B$504,B499))</f>
        <v/>
      </c>
      <c r="H499" s="33" t="str">
        <f aca="false">IF(OR(B499="",AND(A499=A498 ,B499=B498)),"",SUMIFS($F$5:$F$504,$A$5:$A$504,A499,$B$5:$B$504,B499))</f>
        <v/>
      </c>
      <c r="I499" s="34"/>
      <c r="J499" s="35"/>
    </row>
    <row r="500" customFormat="false" ht="15" hidden="false" customHeight="false" outlineLevel="0" collapsed="false">
      <c r="A500" s="32"/>
      <c r="B500" s="29"/>
      <c r="C500" s="29"/>
      <c r="D500" s="25"/>
      <c r="E500" s="25"/>
      <c r="F500" s="25"/>
      <c r="G500" s="33" t="str">
        <f aca="false">IF(OR(B500="",AND(A500=A499 ,B500=B499)),"",SUMIFS($D$5:$D$504,$A$5:$A$504,A500,$B$5:$B$504,B500)+SUMIFS($E$5:$E$504,$A$5:$A$504,A500,$B$5:$B$504,B500)-SUMIFS($F$5:$F$504,$A$5:$A$504,A500,$B$5:$B$504,B500))</f>
        <v/>
      </c>
      <c r="H500" s="33" t="str">
        <f aca="false">IF(OR(B500="",AND(A500=A499 ,B500=B499)),"",SUMIFS($F$5:$F$504,$A$5:$A$504,A500,$B$5:$B$504,B500))</f>
        <v/>
      </c>
      <c r="I500" s="34"/>
      <c r="J500" s="35"/>
    </row>
    <row r="501" customFormat="false" ht="15" hidden="false" customHeight="false" outlineLevel="0" collapsed="false">
      <c r="A501" s="32"/>
      <c r="B501" s="29"/>
      <c r="C501" s="29"/>
      <c r="D501" s="25"/>
      <c r="E501" s="25"/>
      <c r="F501" s="25"/>
      <c r="G501" s="33" t="str">
        <f aca="false">IF(OR(B501="",AND(A501=A500 ,B501=B500)),"",SUMIFS($D$5:$D$504,$A$5:$A$504,A501,$B$5:$B$504,B501)+SUMIFS($E$5:$E$504,$A$5:$A$504,A501,$B$5:$B$504,B501)-SUMIFS($F$5:$F$504,$A$5:$A$504,A501,$B$5:$B$504,B501))</f>
        <v/>
      </c>
      <c r="H501" s="33" t="str">
        <f aca="false">IF(OR(B501="",AND(A501=A500 ,B501=B500)),"",SUMIFS($F$5:$F$504,$A$5:$A$504,A501,$B$5:$B$504,B501))</f>
        <v/>
      </c>
      <c r="I501" s="34"/>
      <c r="J501" s="35"/>
    </row>
    <row r="502" customFormat="false" ht="15" hidden="false" customHeight="false" outlineLevel="0" collapsed="false">
      <c r="A502" s="32"/>
      <c r="B502" s="29"/>
      <c r="C502" s="29"/>
      <c r="D502" s="25"/>
      <c r="E502" s="25"/>
      <c r="F502" s="25"/>
      <c r="G502" s="33" t="str">
        <f aca="false">IF(OR(B502="",AND(A502=A501 ,B502=B501)),"",SUMIFS($D$5:$D$504,$A$5:$A$504,A502,$B$5:$B$504,B502)+SUMIFS($E$5:$E$504,$A$5:$A$504,A502,$B$5:$B$504,B502)-SUMIFS($F$5:$F$504,$A$5:$A$504,A502,$B$5:$B$504,B502))</f>
        <v/>
      </c>
      <c r="H502" s="33" t="str">
        <f aca="false">IF(OR(B502="",AND(A502=A501 ,B502=B501)),"",SUMIFS($F$5:$F$504,$A$5:$A$504,A502,$B$5:$B$504,B502))</f>
        <v/>
      </c>
      <c r="I502" s="34"/>
      <c r="J502" s="35"/>
    </row>
    <row r="503" customFormat="false" ht="15" hidden="false" customHeight="false" outlineLevel="0" collapsed="false">
      <c r="A503" s="32"/>
      <c r="B503" s="29"/>
      <c r="C503" s="29"/>
      <c r="D503" s="25"/>
      <c r="E503" s="25"/>
      <c r="F503" s="25"/>
      <c r="G503" s="33" t="str">
        <f aca="false">IF(OR(B503="",AND(A503=A502 ,B503=B502)),"",SUMIFS($D$5:$D$504,$A$5:$A$504,A503,$B$5:$B$504,B503)+SUMIFS($E$5:$E$504,$A$5:$A$504,A503,$B$5:$B$504,B503)-SUMIFS($F$5:$F$504,$A$5:$A$504,A503,$B$5:$B$504,B503))</f>
        <v/>
      </c>
      <c r="H503" s="33" t="str">
        <f aca="false">IF(OR(B503="",AND(A503=A502 ,B503=B502)),"",SUMIFS($F$5:$F$504,$A$5:$A$504,A503,$B$5:$B$504,B503))</f>
        <v/>
      </c>
      <c r="I503" s="34"/>
      <c r="J503" s="35"/>
    </row>
    <row r="504" customFormat="false" ht="15" hidden="false" customHeight="false" outlineLevel="0" collapsed="false">
      <c r="A504" s="32"/>
      <c r="B504" s="29"/>
      <c r="C504" s="29"/>
      <c r="D504" s="25"/>
      <c r="E504" s="25"/>
      <c r="F504" s="25"/>
      <c r="G504" s="33" t="str">
        <f aca="false">IF(OR(B504="",AND(A504=A503 ,B504=B503)),"",SUMIFS($D$5:$D$504,$A$5:$A$504,A504,$B$5:$B$504,B504)+SUMIFS($E$5:$E$504,$A$5:$A$504,A504,$B$5:$B$504,B504)-SUMIFS($F$5:$F$504,$A$5:$A$504,A504,$B$5:$B$504,B504))</f>
        <v/>
      </c>
      <c r="H504" s="33" t="str">
        <f aca="false">IF(OR(B504="",AND(A504=A503 ,B504=B503)),"",SUMIFS($F$5:$F$504,$A$5:$A$504,A504,$B$5:$B$504,B504))</f>
        <v/>
      </c>
      <c r="I504" s="34"/>
      <c r="J504" s="35"/>
    </row>
  </sheetData>
  <autoFilter ref="A4:J504"/>
  <mergeCells count="22">
    <mergeCell ref="G5:G13"/>
    <mergeCell ref="H5:H13"/>
    <mergeCell ref="G14:G19"/>
    <mergeCell ref="H14:H19"/>
    <mergeCell ref="G20:G21"/>
    <mergeCell ref="H20:H21"/>
    <mergeCell ref="G24:G28"/>
    <mergeCell ref="H24:H28"/>
    <mergeCell ref="G29:G30"/>
    <mergeCell ref="H29:H30"/>
    <mergeCell ref="G31:G37"/>
    <mergeCell ref="H31:H37"/>
    <mergeCell ref="G38:G46"/>
    <mergeCell ref="H38:H46"/>
    <mergeCell ref="G47:G49"/>
    <mergeCell ref="H47:H49"/>
    <mergeCell ref="G50:G51"/>
    <mergeCell ref="H50:H51"/>
    <mergeCell ref="G56:G58"/>
    <mergeCell ref="H56:H58"/>
    <mergeCell ref="G59:G60"/>
    <mergeCell ref="H59:H60"/>
  </mergeCells>
  <dataValidations count="1">
    <dataValidation allowBlank="true" errorStyle="stop" operator="between" showDropDown="false" showErrorMessage="false" showInputMessage="false" sqref="B5:B504" type="list">
      <formula1>'Danh mục'!$A$5:$A$30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3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257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258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31" t="s">
        <v>147</v>
      </c>
      <c r="B4" s="31" t="s">
        <v>50</v>
      </c>
      <c r="C4" s="31" t="s">
        <v>51</v>
      </c>
      <c r="D4" s="31" t="s">
        <v>52</v>
      </c>
      <c r="E4" s="31" t="s">
        <v>53</v>
      </c>
      <c r="F4" s="31" t="s">
        <v>259</v>
      </c>
    </row>
    <row r="5" customFormat="false" ht="15" hidden="false" customHeight="false" outlineLevel="0" collapsed="false">
      <c r="A5" s="29" t="s">
        <v>191</v>
      </c>
      <c r="B5" s="18" t="n">
        <f aca="false">SUMIFS('Giao dịch TK'!$D$5:$D$504,'Giao dịch TK'!$C$5:$C$504,$A5)</f>
        <v>500</v>
      </c>
      <c r="C5" s="18" t="n">
        <f aca="false">SUMIFS('Giao dịch TK'!$E$5:$E$504,'Giao dịch TK'!$C$5:$C$504,$A5)</f>
        <v>0</v>
      </c>
      <c r="D5" s="18" t="n">
        <f aca="false">SUMIFS('Giao dịch TK'!$F$5:$F$504,'Giao dịch TK'!$C$5:$C$504,$A5)</f>
        <v>600</v>
      </c>
      <c r="E5" s="18" t="n">
        <f aca="false">B5+C5-D5</f>
        <v>-100</v>
      </c>
      <c r="F5" s="18" t="n">
        <f aca="false">COUNTIFS('Giao dịch TK'!$C$5:$C$504,$A5)</f>
        <v>2</v>
      </c>
    </row>
    <row r="6" customFormat="false" ht="15" hidden="false" customHeight="false" outlineLevel="0" collapsed="false">
      <c r="A6" s="29" t="s">
        <v>255</v>
      </c>
      <c r="B6" s="18" t="n">
        <f aca="false">SUMIFS('Giao dịch TK'!$D$5:$D$504,'Giao dịch TK'!$C$5:$C$504,$A6)</f>
        <v>2500</v>
      </c>
      <c r="C6" s="18" t="n">
        <f aca="false">SUMIFS('Giao dịch TK'!$E$5:$E$504,'Giao dịch TK'!$C$5:$C$504,$A6)</f>
        <v>0</v>
      </c>
      <c r="D6" s="18" t="n">
        <f aca="false">SUMIFS('Giao dịch TK'!$F$5:$F$504,'Giao dịch TK'!$C$5:$C$504,$A6)</f>
        <v>0</v>
      </c>
      <c r="E6" s="18" t="n">
        <f aca="false">B6+C6-D6</f>
        <v>2500</v>
      </c>
      <c r="F6" s="18" t="n">
        <f aca="false">COUNTIFS('Giao dịch TK'!$C$5:$C$504,$A6)</f>
        <v>1</v>
      </c>
    </row>
    <row r="7" customFormat="false" ht="15" hidden="false" customHeight="false" outlineLevel="0" collapsed="false">
      <c r="A7" s="29" t="s">
        <v>160</v>
      </c>
      <c r="B7" s="18" t="n">
        <f aca="false">SUMIFS('Giao dịch TK'!$D$5:$D$504,'Giao dịch TK'!$C$5:$C$504,$A7)</f>
        <v>300</v>
      </c>
      <c r="C7" s="18" t="n">
        <f aca="false">SUMIFS('Giao dịch TK'!$E$5:$E$504,'Giao dịch TK'!$C$5:$C$504,$A7)</f>
        <v>0</v>
      </c>
      <c r="D7" s="18" t="n">
        <f aca="false">SUMIFS('Giao dịch TK'!$F$5:$F$504,'Giao dịch TK'!$C$5:$C$504,$A7)</f>
        <v>101</v>
      </c>
      <c r="E7" s="18" t="n">
        <f aca="false">B7+C7-D7</f>
        <v>199</v>
      </c>
      <c r="F7" s="18" t="n">
        <f aca="false">COUNTIFS('Giao dịch TK'!$C$5:$C$504,$A7)</f>
        <v>2</v>
      </c>
    </row>
    <row r="8" customFormat="false" ht="15" hidden="false" customHeight="false" outlineLevel="0" collapsed="false">
      <c r="A8" s="29" t="s">
        <v>205</v>
      </c>
      <c r="B8" s="18" t="n">
        <f aca="false">SUMIFS('Giao dịch TK'!$D$5:$D$504,'Giao dịch TK'!$C$5:$C$504,$A8)</f>
        <v>50</v>
      </c>
      <c r="C8" s="18" t="n">
        <f aca="false">SUMIFS('Giao dịch TK'!$E$5:$E$504,'Giao dịch TK'!$C$5:$C$504,$A8)</f>
        <v>0</v>
      </c>
      <c r="D8" s="18" t="n">
        <f aca="false">SUMIFS('Giao dịch TK'!$F$5:$F$504,'Giao dịch TK'!$C$5:$C$504,$A8)</f>
        <v>0</v>
      </c>
      <c r="E8" s="18" t="n">
        <f aca="false">B8+C8-D8</f>
        <v>50</v>
      </c>
      <c r="F8" s="18" t="n">
        <f aca="false">COUNTIFS('Giao dịch TK'!$C$5:$C$504,$A8)</f>
        <v>1</v>
      </c>
    </row>
    <row r="9" customFormat="false" ht="15" hidden="false" customHeight="false" outlineLevel="0" collapsed="false">
      <c r="A9" s="29" t="s">
        <v>164</v>
      </c>
      <c r="B9" s="18" t="n">
        <f aca="false">SUMIFS('Giao dịch TK'!$D$5:$D$504,'Giao dịch TK'!$C$5:$C$504,$A9)</f>
        <v>350</v>
      </c>
      <c r="C9" s="18" t="n">
        <f aca="false">SUMIFS('Giao dịch TK'!$E$5:$E$504,'Giao dịch TK'!$C$5:$C$504,$A9)</f>
        <v>0</v>
      </c>
      <c r="D9" s="18" t="n">
        <f aca="false">SUMIFS('Giao dịch TK'!$F$5:$F$504,'Giao dịch TK'!$C$5:$C$504,$A9)</f>
        <v>206</v>
      </c>
      <c r="E9" s="18" t="n">
        <f aca="false">B9+C9-D9</f>
        <v>144</v>
      </c>
      <c r="F9" s="18" t="n">
        <f aca="false">COUNTIFS('Giao dịch TK'!$C$5:$C$504,$A9)</f>
        <v>3</v>
      </c>
    </row>
    <row r="10" customFormat="false" ht="15" hidden="false" customHeight="false" outlineLevel="0" collapsed="false">
      <c r="A10" s="29" t="s">
        <v>166</v>
      </c>
      <c r="B10" s="18" t="n">
        <f aca="false">SUMIFS('Giao dịch TK'!$D$5:$D$504,'Giao dịch TK'!$C$5:$C$504,$A10)</f>
        <v>600</v>
      </c>
      <c r="C10" s="18" t="n">
        <f aca="false">SUMIFS('Giao dịch TK'!$E$5:$E$504,'Giao dịch TK'!$C$5:$C$504,$A10)</f>
        <v>0</v>
      </c>
      <c r="D10" s="18" t="n">
        <f aca="false">SUMIFS('Giao dịch TK'!$F$5:$F$504,'Giao dịch TK'!$C$5:$C$504,$A10)</f>
        <v>955</v>
      </c>
      <c r="E10" s="18" t="n">
        <f aca="false">B10+C10-D10</f>
        <v>-355</v>
      </c>
      <c r="F10" s="18" t="n">
        <f aca="false">COUNTIFS('Giao dịch TK'!$C$5:$C$504,$A10)</f>
        <v>3</v>
      </c>
    </row>
    <row r="11" customFormat="false" ht="15" hidden="false" customHeight="false" outlineLevel="0" collapsed="false">
      <c r="A11" s="29" t="s">
        <v>189</v>
      </c>
      <c r="B11" s="18" t="n">
        <f aca="false">SUMIFS('Giao dịch TK'!$D$5:$D$504,'Giao dịch TK'!$C$5:$C$504,$A11)</f>
        <v>4000</v>
      </c>
      <c r="C11" s="18" t="n">
        <f aca="false">SUMIFS('Giao dịch TK'!$E$5:$E$504,'Giao dịch TK'!$C$5:$C$504,$A11)</f>
        <v>0</v>
      </c>
      <c r="D11" s="18" t="n">
        <f aca="false">SUMIFS('Giao dịch TK'!$F$5:$F$504,'Giao dịch TK'!$C$5:$C$504,$A11)</f>
        <v>0</v>
      </c>
      <c r="E11" s="18" t="n">
        <f aca="false">B11+C11-D11</f>
        <v>4000</v>
      </c>
      <c r="F11" s="18" t="n">
        <f aca="false">COUNTIFS('Giao dịch TK'!$C$5:$C$504,$A11)</f>
        <v>1</v>
      </c>
    </row>
    <row r="12" customFormat="false" ht="15" hidden="false" customHeight="false" outlineLevel="0" collapsed="false">
      <c r="A12" s="29" t="s">
        <v>174</v>
      </c>
      <c r="B12" s="18" t="n">
        <f aca="false">SUMIFS('Giao dịch TK'!$D$5:$D$504,'Giao dịch TK'!$C$5:$C$504,$A12)</f>
        <v>300</v>
      </c>
      <c r="C12" s="18" t="n">
        <f aca="false">SUMIFS('Giao dịch TK'!$E$5:$E$504,'Giao dịch TK'!$C$5:$C$504,$A12)</f>
        <v>20000</v>
      </c>
      <c r="D12" s="18" t="n">
        <f aca="false">SUMIFS('Giao dịch TK'!$F$5:$F$504,'Giao dịch TK'!$C$5:$C$504,$A12)</f>
        <v>0</v>
      </c>
      <c r="E12" s="18" t="n">
        <f aca="false">B12+C12-D12</f>
        <v>20300</v>
      </c>
      <c r="F12" s="18" t="n">
        <f aca="false">COUNTIFS('Giao dịch TK'!$C$5:$C$504,$A12)</f>
        <v>2</v>
      </c>
    </row>
    <row r="13" customFormat="false" ht="15" hidden="false" customHeight="false" outlineLevel="0" collapsed="false">
      <c r="A13" s="29" t="s">
        <v>158</v>
      </c>
      <c r="B13" s="18" t="n">
        <f aca="false">SUMIFS('Giao dịch TK'!$D$5:$D$504,'Giao dịch TK'!$C$5:$C$504,$A13)</f>
        <v>5000</v>
      </c>
      <c r="C13" s="18" t="n">
        <f aca="false">SUMIFS('Giao dịch TK'!$E$5:$E$504,'Giao dịch TK'!$C$5:$C$504,$A13)</f>
        <v>5000</v>
      </c>
      <c r="D13" s="18" t="n">
        <f aca="false">SUMIFS('Giao dịch TK'!$F$5:$F$504,'Giao dịch TK'!$C$5:$C$504,$A13)</f>
        <v>0</v>
      </c>
      <c r="E13" s="18" t="n">
        <f aca="false">B13+C13-D13</f>
        <v>10000</v>
      </c>
      <c r="F13" s="18" t="n">
        <f aca="false">COUNTIFS('Giao dịch TK'!$C$5:$C$504,$A13)</f>
        <v>1</v>
      </c>
    </row>
    <row r="14" customFormat="false" ht="15" hidden="false" customHeight="false" outlineLevel="0" collapsed="false">
      <c r="A14" s="29" t="s">
        <v>209</v>
      </c>
      <c r="B14" s="18" t="n">
        <f aca="false">SUMIFS('Giao dịch TK'!$D$5:$D$504,'Giao dịch TK'!$C$5:$C$504,$A14)</f>
        <v>2100</v>
      </c>
      <c r="C14" s="18" t="n">
        <f aca="false">SUMIFS('Giao dịch TK'!$E$5:$E$504,'Giao dịch TK'!$C$5:$C$504,$A14)</f>
        <v>0</v>
      </c>
      <c r="D14" s="18" t="n">
        <f aca="false">SUMIFS('Giao dịch TK'!$F$5:$F$504,'Giao dịch TK'!$C$5:$C$504,$A14)</f>
        <v>0</v>
      </c>
      <c r="E14" s="18" t="n">
        <f aca="false">B14+C14-D14</f>
        <v>2100</v>
      </c>
      <c r="F14" s="18" t="n">
        <f aca="false">COUNTIFS('Giao dịch TK'!$C$5:$C$504,$A14)</f>
        <v>2</v>
      </c>
    </row>
    <row r="15" customFormat="false" ht="15" hidden="false" customHeight="false" outlineLevel="0" collapsed="false">
      <c r="A15" s="29" t="s">
        <v>239</v>
      </c>
      <c r="B15" s="18" t="n">
        <f aca="false">SUMIFS('Giao dịch TK'!$D$5:$D$504,'Giao dịch TK'!$C$5:$C$504,$A15)</f>
        <v>100</v>
      </c>
      <c r="C15" s="18" t="n">
        <f aca="false">SUMIFS('Giao dịch TK'!$E$5:$E$504,'Giao dịch TK'!$C$5:$C$504,$A15)</f>
        <v>0</v>
      </c>
      <c r="D15" s="18" t="n">
        <f aca="false">SUMIFS('Giao dịch TK'!$F$5:$F$504,'Giao dịch TK'!$C$5:$C$504,$A15)</f>
        <v>0</v>
      </c>
      <c r="E15" s="18" t="n">
        <f aca="false">B15+C15-D15</f>
        <v>100</v>
      </c>
      <c r="F15" s="18" t="n">
        <f aca="false">COUNTIFS('Giao dịch TK'!$C$5:$C$504,$A15)</f>
        <v>1</v>
      </c>
    </row>
    <row r="16" customFormat="false" ht="15" hidden="false" customHeight="false" outlineLevel="0" collapsed="false">
      <c r="A16" s="29" t="s">
        <v>212</v>
      </c>
      <c r="B16" s="18" t="n">
        <f aca="false">SUMIFS('Giao dịch TK'!$D$5:$D$504,'Giao dịch TK'!$C$5:$C$504,$A16)</f>
        <v>200</v>
      </c>
      <c r="C16" s="18" t="n">
        <f aca="false">SUMIFS('Giao dịch TK'!$E$5:$E$504,'Giao dịch TK'!$C$5:$C$504,$A16)</f>
        <v>0</v>
      </c>
      <c r="D16" s="18" t="n">
        <f aca="false">SUMIFS('Giao dịch TK'!$F$5:$F$504,'Giao dịch TK'!$C$5:$C$504,$A16)</f>
        <v>0</v>
      </c>
      <c r="E16" s="18" t="n">
        <f aca="false">B16+C16-D16</f>
        <v>200</v>
      </c>
      <c r="F16" s="18" t="n">
        <f aca="false">COUNTIFS('Giao dịch TK'!$C$5:$C$504,$A16)</f>
        <v>2</v>
      </c>
    </row>
    <row r="17" customFormat="false" ht="15" hidden="false" customHeight="false" outlineLevel="0" collapsed="false">
      <c r="A17" s="29" t="s">
        <v>228</v>
      </c>
      <c r="B17" s="18" t="n">
        <f aca="false">SUMIFS('Giao dịch TK'!$D$5:$D$504,'Giao dịch TK'!$C$5:$C$504,$A17)</f>
        <v>50</v>
      </c>
      <c r="C17" s="18" t="n">
        <f aca="false">SUMIFS('Giao dịch TK'!$E$5:$E$504,'Giao dịch TK'!$C$5:$C$504,$A17)</f>
        <v>0</v>
      </c>
      <c r="D17" s="18" t="n">
        <f aca="false">SUMIFS('Giao dịch TK'!$F$5:$F$504,'Giao dịch TK'!$C$5:$C$504,$A17)</f>
        <v>0</v>
      </c>
      <c r="E17" s="18" t="n">
        <f aca="false">B17+C17-D17</f>
        <v>50</v>
      </c>
      <c r="F17" s="18" t="n">
        <f aca="false">COUNTIFS('Giao dịch TK'!$C$5:$C$504,$A17)</f>
        <v>1</v>
      </c>
    </row>
    <row r="18" customFormat="false" ht="15" hidden="false" customHeight="false" outlineLevel="0" collapsed="false">
      <c r="A18" s="29" t="s">
        <v>172</v>
      </c>
      <c r="B18" s="18" t="n">
        <f aca="false">SUMIFS('Giao dịch TK'!$D$5:$D$504,'Giao dịch TK'!$C$5:$C$504,$A18)</f>
        <v>3000</v>
      </c>
      <c r="C18" s="18" t="n">
        <f aca="false">SUMIFS('Giao dịch TK'!$E$5:$E$504,'Giao dịch TK'!$C$5:$C$504,$A18)</f>
        <v>6000</v>
      </c>
      <c r="D18" s="18" t="n">
        <f aca="false">SUMIFS('Giao dịch TK'!$F$5:$F$504,'Giao dịch TK'!$C$5:$C$504,$A18)</f>
        <v>0</v>
      </c>
      <c r="E18" s="18" t="n">
        <f aca="false">B18+C18-D18</f>
        <v>9000</v>
      </c>
      <c r="F18" s="18" t="n">
        <f aca="false">COUNTIFS('Giao dịch TK'!$C$5:$C$504,$A18)</f>
        <v>1</v>
      </c>
    </row>
    <row r="19" customFormat="false" ht="15" hidden="false" customHeight="false" outlineLevel="0" collapsed="false">
      <c r="A19" s="29" t="s">
        <v>194</v>
      </c>
      <c r="B19" s="18" t="n">
        <f aca="false">SUMIFS('Giao dịch TK'!$D$5:$D$504,'Giao dịch TK'!$C$5:$C$504,$A19)</f>
        <v>50</v>
      </c>
      <c r="C19" s="18" t="n">
        <f aca="false">SUMIFS('Giao dịch TK'!$E$5:$E$504,'Giao dịch TK'!$C$5:$C$504,$A19)</f>
        <v>0</v>
      </c>
      <c r="D19" s="18" t="n">
        <f aca="false">SUMIFS('Giao dịch TK'!$F$5:$F$504,'Giao dịch TK'!$C$5:$C$504,$A19)</f>
        <v>0</v>
      </c>
      <c r="E19" s="18" t="n">
        <f aca="false">B19+C19-D19</f>
        <v>50</v>
      </c>
      <c r="F19" s="18" t="n">
        <f aca="false">COUNTIFS('Giao dịch TK'!$C$5:$C$504,$A19)</f>
        <v>1</v>
      </c>
    </row>
    <row r="20" customFormat="false" ht="15" hidden="false" customHeight="false" outlineLevel="0" collapsed="false">
      <c r="A20" s="29" t="s">
        <v>203</v>
      </c>
      <c r="B20" s="18" t="n">
        <f aca="false">SUMIFS('Giao dịch TK'!$D$5:$D$504,'Giao dịch TK'!$C$5:$C$504,$A20)</f>
        <v>1000</v>
      </c>
      <c r="C20" s="18" t="n">
        <f aca="false">SUMIFS('Giao dịch TK'!$E$5:$E$504,'Giao dịch TK'!$C$5:$C$504,$A20)</f>
        <v>0</v>
      </c>
      <c r="D20" s="18" t="n">
        <f aca="false">SUMIFS('Giao dịch TK'!$F$5:$F$504,'Giao dịch TK'!$C$5:$C$504,$A20)</f>
        <v>0</v>
      </c>
      <c r="E20" s="18" t="n">
        <f aca="false">B20+C20-D20</f>
        <v>1000</v>
      </c>
      <c r="F20" s="18" t="n">
        <f aca="false">COUNTIFS('Giao dịch TK'!$C$5:$C$504,$A20)</f>
        <v>1</v>
      </c>
    </row>
    <row r="21" customFormat="false" ht="15" hidden="false" customHeight="false" outlineLevel="0" collapsed="false">
      <c r="A21" s="29" t="s">
        <v>156</v>
      </c>
      <c r="B21" s="18" t="n">
        <f aca="false">SUMIFS('Giao dịch TK'!$D$5:$D$504,'Giao dịch TK'!$C$5:$C$504,$A21)</f>
        <v>50</v>
      </c>
      <c r="C21" s="18" t="n">
        <f aca="false">SUMIFS('Giao dịch TK'!$E$5:$E$504,'Giao dịch TK'!$C$5:$C$504,$A21)</f>
        <v>0</v>
      </c>
      <c r="D21" s="18" t="n">
        <f aca="false">SUMIFS('Giao dịch TK'!$F$5:$F$504,'Giao dịch TK'!$C$5:$C$504,$A21)</f>
        <v>307</v>
      </c>
      <c r="E21" s="18" t="n">
        <f aca="false">B21+C21-D21</f>
        <v>-257</v>
      </c>
      <c r="F21" s="18" t="n">
        <f aca="false">COUNTIFS('Giao dịch TK'!$C$5:$C$504,$A21)</f>
        <v>1</v>
      </c>
    </row>
    <row r="22" customFormat="false" ht="15" hidden="false" customHeight="false" outlineLevel="0" collapsed="false">
      <c r="A22" s="29" t="s">
        <v>218</v>
      </c>
      <c r="B22" s="18" t="n">
        <f aca="false">SUMIFS('Giao dịch TK'!$D$5:$D$504,'Giao dịch TK'!$C$5:$C$504,$A22)</f>
        <v>500</v>
      </c>
      <c r="C22" s="18" t="n">
        <f aca="false">SUMIFS('Giao dịch TK'!$E$5:$E$504,'Giao dịch TK'!$C$5:$C$504,$A22)</f>
        <v>0</v>
      </c>
      <c r="D22" s="18" t="n">
        <f aca="false">SUMIFS('Giao dịch TK'!$F$5:$F$504,'Giao dịch TK'!$C$5:$C$504,$A22)</f>
        <v>0</v>
      </c>
      <c r="E22" s="18" t="n">
        <f aca="false">B22+C22-D22</f>
        <v>500</v>
      </c>
      <c r="F22" s="18" t="n">
        <f aca="false">COUNTIFS('Giao dịch TK'!$C$5:$C$504,$A22)</f>
        <v>1</v>
      </c>
    </row>
    <row r="23" customFormat="false" ht="15" hidden="false" customHeight="false" outlineLevel="0" collapsed="false">
      <c r="A23" s="29" t="s">
        <v>150</v>
      </c>
      <c r="B23" s="18" t="n">
        <f aca="false">SUMIFS('Giao dịch TK'!$D$5:$D$504,'Giao dịch TK'!$C$5:$C$504,$A23)</f>
        <v>100</v>
      </c>
      <c r="C23" s="18" t="n">
        <f aca="false">SUMIFS('Giao dịch TK'!$E$5:$E$504,'Giao dịch TK'!$C$5:$C$504,$A23)</f>
        <v>0</v>
      </c>
      <c r="D23" s="18" t="n">
        <f aca="false">SUMIFS('Giao dịch TK'!$F$5:$F$504,'Giao dịch TK'!$C$5:$C$504,$A23)</f>
        <v>700</v>
      </c>
      <c r="E23" s="18" t="n">
        <f aca="false">B23+C23-D23</f>
        <v>-600</v>
      </c>
      <c r="F23" s="18" t="n">
        <f aca="false">COUNTIFS('Giao dịch TK'!$C$5:$C$504,$A23)</f>
        <v>2</v>
      </c>
    </row>
    <row r="24" customFormat="false" ht="15" hidden="false" customHeight="false" outlineLevel="0" collapsed="false">
      <c r="A24" s="29" t="s">
        <v>253</v>
      </c>
      <c r="B24" s="18" t="n">
        <f aca="false">SUMIFS('Giao dịch TK'!$D$5:$D$504,'Giao dịch TK'!$C$5:$C$504,$A24)</f>
        <v>1000</v>
      </c>
      <c r="C24" s="18" t="n">
        <f aca="false">SUMIFS('Giao dịch TK'!$E$5:$E$504,'Giao dịch TK'!$C$5:$C$504,$A24)</f>
        <v>0</v>
      </c>
      <c r="D24" s="18" t="n">
        <f aca="false">SUMIFS('Giao dịch TK'!$F$5:$F$504,'Giao dịch TK'!$C$5:$C$504,$A24)</f>
        <v>0</v>
      </c>
      <c r="E24" s="18" t="n">
        <f aca="false">B24+C24-D24</f>
        <v>1000</v>
      </c>
      <c r="F24" s="18" t="n">
        <f aca="false">COUNTIFS('Giao dịch TK'!$C$5:$C$504,$A24)</f>
        <v>1</v>
      </c>
    </row>
    <row r="25" customFormat="false" ht="15" hidden="false" customHeight="false" outlineLevel="0" collapsed="false">
      <c r="A25" s="29" t="s">
        <v>251</v>
      </c>
      <c r="B25" s="18" t="n">
        <f aca="false">SUMIFS('Giao dịch TK'!$D$5:$D$504,'Giao dịch TK'!$C$5:$C$504,$A25)</f>
        <v>3000</v>
      </c>
      <c r="C25" s="18" t="n">
        <f aca="false">SUMIFS('Giao dịch TK'!$E$5:$E$504,'Giao dịch TK'!$C$5:$C$504,$A25)</f>
        <v>0</v>
      </c>
      <c r="D25" s="18" t="n">
        <f aca="false">SUMIFS('Giao dịch TK'!$F$5:$F$504,'Giao dịch TK'!$C$5:$C$504,$A25)</f>
        <v>0</v>
      </c>
      <c r="E25" s="18" t="n">
        <f aca="false">B25+C25-D25</f>
        <v>3000</v>
      </c>
      <c r="F25" s="18" t="n">
        <f aca="false">COUNTIFS('Giao dịch TK'!$C$5:$C$504,$A25)</f>
        <v>1</v>
      </c>
    </row>
    <row r="26" customFormat="false" ht="15" hidden="false" customHeight="false" outlineLevel="0" collapsed="false">
      <c r="A26" s="29" t="s">
        <v>162</v>
      </c>
      <c r="B26" s="18" t="n">
        <f aca="false">SUMIFS('Giao dịch TK'!$D$5:$D$504,'Giao dịch TK'!$C$5:$C$504,$A26)</f>
        <v>1000</v>
      </c>
      <c r="C26" s="18" t="n">
        <f aca="false">SUMIFS('Giao dịch TK'!$E$5:$E$504,'Giao dịch TK'!$C$5:$C$504,$A26)</f>
        <v>0</v>
      </c>
      <c r="D26" s="18" t="n">
        <f aca="false">SUMIFS('Giao dịch TK'!$F$5:$F$504,'Giao dịch TK'!$C$5:$C$504,$A26)</f>
        <v>0</v>
      </c>
      <c r="E26" s="18" t="n">
        <f aca="false">B26+C26-D26</f>
        <v>1000</v>
      </c>
      <c r="F26" s="18" t="n">
        <f aca="false">COUNTIFS('Giao dịch TK'!$C$5:$C$504,$A26)</f>
        <v>1</v>
      </c>
    </row>
    <row r="27" customFormat="false" ht="15" hidden="false" customHeight="false" outlineLevel="0" collapsed="false">
      <c r="A27" s="29" t="s">
        <v>154</v>
      </c>
      <c r="B27" s="18" t="n">
        <f aca="false">SUMIFS('Giao dịch TK'!$D$5:$D$504,'Giao dịch TK'!$C$5:$C$504,$A27)</f>
        <v>3000</v>
      </c>
      <c r="C27" s="18" t="n">
        <f aca="false">SUMIFS('Giao dịch TK'!$E$5:$E$504,'Giao dịch TK'!$C$5:$C$504,$A27)</f>
        <v>0</v>
      </c>
      <c r="D27" s="18" t="n">
        <f aca="false">SUMIFS('Giao dịch TK'!$F$5:$F$504,'Giao dịch TK'!$C$5:$C$504,$A27)</f>
        <v>0</v>
      </c>
      <c r="E27" s="18" t="n">
        <f aca="false">B27+C27-D27</f>
        <v>3000</v>
      </c>
      <c r="F27" s="18" t="n">
        <f aca="false">COUNTIFS('Giao dịch TK'!$C$5:$C$504,$A27)</f>
        <v>1</v>
      </c>
    </row>
    <row r="28" customFormat="false" ht="15" hidden="false" customHeight="false" outlineLevel="0" collapsed="false">
      <c r="A28" s="29" t="s">
        <v>243</v>
      </c>
      <c r="B28" s="18" t="n">
        <f aca="false">SUMIFS('Giao dịch TK'!$D$5:$D$504,'Giao dịch TK'!$C$5:$C$504,$A28)</f>
        <v>200</v>
      </c>
      <c r="C28" s="18" t="n">
        <f aca="false">SUMIFS('Giao dịch TK'!$E$5:$E$504,'Giao dịch TK'!$C$5:$C$504,$A28)</f>
        <v>0</v>
      </c>
      <c r="D28" s="18" t="n">
        <f aca="false">SUMIFS('Giao dịch TK'!$F$5:$F$504,'Giao dịch TK'!$C$5:$C$504,$A28)</f>
        <v>0</v>
      </c>
      <c r="E28" s="18" t="n">
        <f aca="false">B28+C28-D28</f>
        <v>200</v>
      </c>
      <c r="F28" s="18" t="n">
        <f aca="false">COUNTIFS('Giao dịch TK'!$C$5:$C$504,$A28)</f>
        <v>1</v>
      </c>
    </row>
    <row r="29" customFormat="false" ht="15" hidden="false" customHeight="false" outlineLevel="0" collapsed="false">
      <c r="A29" s="29" t="s">
        <v>230</v>
      </c>
      <c r="B29" s="18" t="n">
        <f aca="false">SUMIFS('Giao dịch TK'!$D$5:$D$504,'Giao dịch TK'!$C$5:$C$504,$A29)</f>
        <v>1000</v>
      </c>
      <c r="C29" s="18" t="n">
        <f aca="false">SUMIFS('Giao dịch TK'!$E$5:$E$504,'Giao dịch TK'!$C$5:$C$504,$A29)</f>
        <v>4000</v>
      </c>
      <c r="D29" s="18" t="n">
        <f aca="false">SUMIFS('Giao dịch TK'!$F$5:$F$504,'Giao dịch TK'!$C$5:$C$504,$A29)</f>
        <v>0</v>
      </c>
      <c r="E29" s="18" t="n">
        <f aca="false">B29+C29-D29</f>
        <v>5000</v>
      </c>
      <c r="F29" s="18" t="n">
        <f aca="false">COUNTIFS('Giao dịch TK'!$C$5:$C$504,$A29)</f>
        <v>1</v>
      </c>
    </row>
    <row r="30" customFormat="false" ht="15" hidden="false" customHeight="false" outlineLevel="0" collapsed="false">
      <c r="A30" s="29" t="s">
        <v>214</v>
      </c>
      <c r="B30" s="18" t="n">
        <f aca="false">SUMIFS('Giao dịch TK'!$D$5:$D$504,'Giao dịch TK'!$C$5:$C$504,$A30)</f>
        <v>1000</v>
      </c>
      <c r="C30" s="18" t="n">
        <f aca="false">SUMIFS('Giao dịch TK'!$E$5:$E$504,'Giao dịch TK'!$C$5:$C$504,$A30)</f>
        <v>0</v>
      </c>
      <c r="D30" s="18" t="n">
        <f aca="false">SUMIFS('Giao dịch TK'!$F$5:$F$504,'Giao dịch TK'!$C$5:$C$504,$A30)</f>
        <v>0</v>
      </c>
      <c r="E30" s="18" t="n">
        <f aca="false">B30+C30-D30</f>
        <v>1000</v>
      </c>
      <c r="F30" s="18" t="n">
        <f aca="false">COUNTIFS('Giao dịch TK'!$C$5:$C$504,$A30)</f>
        <v>1</v>
      </c>
    </row>
    <row r="31" customFormat="false" ht="15" hidden="false" customHeight="false" outlineLevel="0" collapsed="false">
      <c r="A31" s="29" t="s">
        <v>226</v>
      </c>
      <c r="B31" s="18" t="n">
        <f aca="false">SUMIFS('Giao dịch TK'!$D$5:$D$504,'Giao dịch TK'!$C$5:$C$504,$A31)</f>
        <v>500</v>
      </c>
      <c r="C31" s="18" t="n">
        <f aca="false">SUMIFS('Giao dịch TK'!$E$5:$E$504,'Giao dịch TK'!$C$5:$C$504,$A31)</f>
        <v>0</v>
      </c>
      <c r="D31" s="18" t="n">
        <f aca="false">SUMIFS('Giao dịch TK'!$F$5:$F$504,'Giao dịch TK'!$C$5:$C$504,$A31)</f>
        <v>0</v>
      </c>
      <c r="E31" s="18" t="n">
        <f aca="false">B31+C31-D31</f>
        <v>500</v>
      </c>
      <c r="F31" s="18" t="n">
        <f aca="false">COUNTIFS('Giao dịch TK'!$C$5:$C$504,$A31)</f>
        <v>1</v>
      </c>
    </row>
    <row r="32" customFormat="false" ht="15" hidden="false" customHeight="false" outlineLevel="0" collapsed="false">
      <c r="A32" s="29" t="s">
        <v>246</v>
      </c>
      <c r="B32" s="18" t="n">
        <f aca="false">SUMIFS('Giao dịch TK'!$D$5:$D$504,'Giao dịch TK'!$C$5:$C$504,$A32)</f>
        <v>50</v>
      </c>
      <c r="C32" s="18" t="n">
        <f aca="false">SUMIFS('Giao dịch TK'!$E$5:$E$504,'Giao dịch TK'!$C$5:$C$504,$A32)</f>
        <v>0</v>
      </c>
      <c r="D32" s="18" t="n">
        <f aca="false">SUMIFS('Giao dịch TK'!$F$5:$F$504,'Giao dịch TK'!$C$5:$C$504,$A32)</f>
        <v>0</v>
      </c>
      <c r="E32" s="18" t="n">
        <f aca="false">B32+C32-D32</f>
        <v>50</v>
      </c>
      <c r="F32" s="18" t="n">
        <f aca="false">COUNTIFS('Giao dịch TK'!$C$5:$C$504,$A32)</f>
        <v>1</v>
      </c>
    </row>
    <row r="33" customFormat="false" ht="15" hidden="false" customHeight="false" outlineLevel="0" collapsed="false">
      <c r="A33" s="29" t="s">
        <v>216</v>
      </c>
      <c r="B33" s="18" t="n">
        <f aca="false">SUMIFS('Giao dịch TK'!$D$5:$D$504,'Giao dịch TK'!$C$5:$C$504,$A33)</f>
        <v>1200</v>
      </c>
      <c r="C33" s="18" t="n">
        <f aca="false">SUMIFS('Giao dịch TK'!$E$5:$E$504,'Giao dịch TK'!$C$5:$C$504,$A33)</f>
        <v>0</v>
      </c>
      <c r="D33" s="18" t="n">
        <f aca="false">SUMIFS('Giao dịch TK'!$F$5:$F$504,'Giao dịch TK'!$C$5:$C$504,$A33)</f>
        <v>0</v>
      </c>
      <c r="E33" s="18" t="n">
        <f aca="false">B33+C33-D33</f>
        <v>1200</v>
      </c>
      <c r="F33" s="18" t="n">
        <f aca="false">COUNTIFS('Giao dịch TK'!$C$5:$C$504,$A33)</f>
        <v>1</v>
      </c>
    </row>
    <row r="34" customFormat="false" ht="15" hidden="false" customHeight="false" outlineLevel="0" collapsed="false">
      <c r="A34" s="29" t="s">
        <v>187</v>
      </c>
      <c r="B34" s="18" t="n">
        <f aca="false">SUMIFS('Giao dịch TK'!$D$5:$D$504,'Giao dịch TK'!$C$5:$C$504,$A34)</f>
        <v>1000</v>
      </c>
      <c r="C34" s="18" t="n">
        <f aca="false">SUMIFS('Giao dịch TK'!$E$5:$E$504,'Giao dịch TK'!$C$5:$C$504,$A34)</f>
        <v>0</v>
      </c>
      <c r="D34" s="18" t="n">
        <f aca="false">SUMIFS('Giao dịch TK'!$F$5:$F$504,'Giao dịch TK'!$C$5:$C$504,$A34)</f>
        <v>0</v>
      </c>
      <c r="E34" s="18" t="n">
        <f aca="false">B34+C34-D34</f>
        <v>1000</v>
      </c>
      <c r="F34" s="18" t="n">
        <f aca="false">COUNTIFS('Giao dịch TK'!$C$5:$C$504,$A34)</f>
        <v>1</v>
      </c>
    </row>
    <row r="35" customFormat="false" ht="15" hidden="false" customHeight="false" outlineLevel="0" collapsed="false">
      <c r="A35" s="29" t="s">
        <v>185</v>
      </c>
      <c r="B35" s="18" t="n">
        <f aca="false">SUMIFS('Giao dịch TK'!$D$5:$D$504,'Giao dịch TK'!$C$5:$C$504,$A35)</f>
        <v>3000</v>
      </c>
      <c r="C35" s="18" t="n">
        <f aca="false">SUMIFS('Giao dịch TK'!$E$5:$E$504,'Giao dịch TK'!$C$5:$C$504,$A35)</f>
        <v>0</v>
      </c>
      <c r="D35" s="18" t="n">
        <f aca="false">SUMIFS('Giao dịch TK'!$F$5:$F$504,'Giao dịch TK'!$C$5:$C$504,$A35)</f>
        <v>0</v>
      </c>
      <c r="E35" s="18" t="n">
        <f aca="false">B35+C35-D35</f>
        <v>3000</v>
      </c>
      <c r="F35" s="18" t="n">
        <f aca="false">COUNTIFS('Giao dịch TK'!$C$5:$C$504,$A35)</f>
        <v>1</v>
      </c>
    </row>
    <row r="36" customFormat="false" ht="15" hidden="false" customHeight="false" outlineLevel="0" collapsed="false">
      <c r="A36" s="29" t="s">
        <v>221</v>
      </c>
      <c r="B36" s="18" t="n">
        <f aca="false">SUMIFS('Giao dịch TK'!$D$5:$D$504,'Giao dịch TK'!$C$5:$C$504,$A36)</f>
        <v>500</v>
      </c>
      <c r="C36" s="18" t="n">
        <f aca="false">SUMIFS('Giao dịch TK'!$E$5:$E$504,'Giao dịch TK'!$C$5:$C$504,$A36)</f>
        <v>0</v>
      </c>
      <c r="D36" s="18" t="n">
        <f aca="false">SUMIFS('Giao dịch TK'!$F$5:$F$504,'Giao dịch TK'!$C$5:$C$504,$A36)</f>
        <v>0</v>
      </c>
      <c r="E36" s="18" t="n">
        <f aca="false">B36+C36-D36</f>
        <v>500</v>
      </c>
      <c r="F36" s="18" t="n">
        <f aca="false">COUNTIFS('Giao dịch TK'!$C$5:$C$504,$A36)</f>
        <v>1</v>
      </c>
    </row>
    <row r="37" customFormat="false" ht="15" hidden="false" customHeight="false" outlineLevel="0" collapsed="false">
      <c r="A37" s="29" t="s">
        <v>234</v>
      </c>
      <c r="B37" s="18" t="n">
        <f aca="false">SUMIFS('Giao dịch TK'!$D$5:$D$504,'Giao dịch TK'!$C$5:$C$504,$A37)</f>
        <v>150</v>
      </c>
      <c r="C37" s="18" t="n">
        <f aca="false">SUMIFS('Giao dịch TK'!$E$5:$E$504,'Giao dịch TK'!$C$5:$C$504,$A37)</f>
        <v>0</v>
      </c>
      <c r="D37" s="18" t="n">
        <f aca="false">SUMIFS('Giao dịch TK'!$F$5:$F$504,'Giao dịch TK'!$C$5:$C$504,$A37)</f>
        <v>251</v>
      </c>
      <c r="E37" s="18" t="n">
        <f aca="false">B37+C37-D37</f>
        <v>-101</v>
      </c>
      <c r="F37" s="18" t="n">
        <f aca="false">COUNTIFS('Giao dịch TK'!$C$5:$C$504,$A37)</f>
        <v>2</v>
      </c>
    </row>
    <row r="38" customFormat="false" ht="15" hidden="false" customHeight="false" outlineLevel="0" collapsed="false">
      <c r="A38" s="29" t="s">
        <v>237</v>
      </c>
      <c r="B38" s="18" t="n">
        <f aca="false">SUMIFS('Giao dịch TK'!$D$5:$D$504,'Giao dịch TK'!$C$5:$C$504,$A38)</f>
        <v>7800</v>
      </c>
      <c r="C38" s="18" t="n">
        <f aca="false">SUMIFS('Giao dịch TK'!$E$5:$E$504,'Giao dịch TK'!$C$5:$C$504,$A38)</f>
        <v>9200</v>
      </c>
      <c r="D38" s="18" t="n">
        <f aca="false">SUMIFS('Giao dịch TK'!$F$5:$F$504,'Giao dịch TK'!$C$5:$C$504,$A38)</f>
        <v>500</v>
      </c>
      <c r="E38" s="18" t="n">
        <f aca="false">B38+C38-D38</f>
        <v>16500</v>
      </c>
      <c r="F38" s="18" t="n">
        <f aca="false">COUNTIFS('Giao dịch TK'!$C$5:$C$504,$A38)</f>
        <v>2</v>
      </c>
    </row>
    <row r="39" customFormat="false" ht="15" hidden="false" customHeight="false" outlineLevel="0" collapsed="false">
      <c r="A39" s="29" t="s">
        <v>199</v>
      </c>
      <c r="B39" s="18" t="n">
        <f aca="false">SUMIFS('Giao dịch TK'!$D$5:$D$504,'Giao dịch TK'!$C$5:$C$504,$A39)</f>
        <v>2580</v>
      </c>
      <c r="C39" s="18" t="n">
        <f aca="false">SUMIFS('Giao dịch TK'!$E$5:$E$504,'Giao dịch TK'!$C$5:$C$504,$A39)</f>
        <v>0</v>
      </c>
      <c r="D39" s="18" t="n">
        <f aca="false">SUMIFS('Giao dịch TK'!$F$5:$F$504,'Giao dịch TK'!$C$5:$C$504,$A39)</f>
        <v>0</v>
      </c>
      <c r="E39" s="18" t="n">
        <f aca="false">B39+C39-D39</f>
        <v>2580</v>
      </c>
      <c r="F39" s="18" t="n">
        <f aca="false">COUNTIFS('Giao dịch TK'!$C$5:$C$504,$A39)</f>
        <v>1</v>
      </c>
    </row>
    <row r="40" customFormat="false" ht="15" hidden="false" customHeight="false" outlineLevel="0" collapsed="false">
      <c r="A40" s="29" t="s">
        <v>201</v>
      </c>
      <c r="B40" s="18" t="n">
        <f aca="false">SUMIFS('Giao dịch TK'!$D$5:$D$504,'Giao dịch TK'!$C$5:$C$504,$A40)</f>
        <v>4100</v>
      </c>
      <c r="C40" s="18" t="n">
        <f aca="false">SUMIFS('Giao dịch TK'!$E$5:$E$504,'Giao dịch TK'!$C$5:$C$504,$A40)</f>
        <v>0</v>
      </c>
      <c r="D40" s="18" t="n">
        <f aca="false">SUMIFS('Giao dịch TK'!$F$5:$F$504,'Giao dịch TK'!$C$5:$C$504,$A40)</f>
        <v>1120</v>
      </c>
      <c r="E40" s="18" t="n">
        <f aca="false">B40+C40-D40</f>
        <v>2980</v>
      </c>
      <c r="F40" s="18" t="n">
        <f aca="false">COUNTIFS('Giao dịch TK'!$C$5:$C$504,$A40)</f>
        <v>1</v>
      </c>
    </row>
    <row r="41" customFormat="false" ht="15" hidden="false" customHeight="false" outlineLevel="0" collapsed="false">
      <c r="A41" s="29" t="s">
        <v>232</v>
      </c>
      <c r="B41" s="18" t="n">
        <f aca="false">SUMIFS('Giao dịch TK'!$D$5:$D$504,'Giao dịch TK'!$C$5:$C$504,$A41)</f>
        <v>160</v>
      </c>
      <c r="C41" s="18" t="n">
        <f aca="false">SUMIFS('Giao dịch TK'!$E$5:$E$504,'Giao dịch TK'!$C$5:$C$504,$A41)</f>
        <v>0</v>
      </c>
      <c r="D41" s="18" t="n">
        <f aca="false">SUMIFS('Giao dịch TK'!$F$5:$F$504,'Giao dịch TK'!$C$5:$C$504,$A41)</f>
        <v>0</v>
      </c>
      <c r="E41" s="18" t="n">
        <f aca="false">B41+C41-D41</f>
        <v>160</v>
      </c>
      <c r="F41" s="18" t="n">
        <f aca="false">COUNTIFS('Giao dịch TK'!$C$5:$C$504,$A41)</f>
        <v>1</v>
      </c>
    </row>
    <row r="42" customFormat="false" ht="15" hidden="false" customHeight="false" outlineLevel="0" collapsed="false">
      <c r="A42" s="29" t="s">
        <v>248</v>
      </c>
      <c r="B42" s="18" t="n">
        <f aca="false">SUMIFS('Giao dịch TK'!$D$5:$D$504,'Giao dịch TK'!$C$5:$C$504,$A42)</f>
        <v>1000</v>
      </c>
      <c r="C42" s="18" t="n">
        <f aca="false">SUMIFS('Giao dịch TK'!$E$5:$E$504,'Giao dịch TK'!$C$5:$C$504,$A42)</f>
        <v>0</v>
      </c>
      <c r="D42" s="18" t="n">
        <f aca="false">SUMIFS('Giao dịch TK'!$F$5:$F$504,'Giao dịch TK'!$C$5:$C$504,$A42)</f>
        <v>0</v>
      </c>
      <c r="E42" s="18" t="n">
        <f aca="false">B42+C42-D42</f>
        <v>1000</v>
      </c>
      <c r="F42" s="18" t="n">
        <f aca="false">COUNTIFS('Giao dịch TK'!$C$5:$C$504,$A42)</f>
        <v>1</v>
      </c>
    </row>
    <row r="43" customFormat="false" ht="15" hidden="false" customHeight="false" outlineLevel="0" collapsed="false">
      <c r="A43" s="29" t="s">
        <v>207</v>
      </c>
      <c r="B43" s="18" t="n">
        <f aca="false">SUMIFS('Giao dịch TK'!$D$5:$D$504,'Giao dịch TK'!$C$5:$C$504,$A43)</f>
        <v>10000</v>
      </c>
      <c r="C43" s="18" t="n">
        <f aca="false">SUMIFS('Giao dịch TK'!$E$5:$E$504,'Giao dịch TK'!$C$5:$C$504,$A43)</f>
        <v>19190</v>
      </c>
      <c r="D43" s="18" t="n">
        <f aca="false">SUMIFS('Giao dịch TK'!$F$5:$F$504,'Giao dịch TK'!$C$5:$C$504,$A43)</f>
        <v>0</v>
      </c>
      <c r="E43" s="18" t="n">
        <f aca="false">B43+C43-D43</f>
        <v>29190</v>
      </c>
      <c r="F43" s="18" t="n">
        <f aca="false">COUNTIFS('Giao dịch TK'!$C$5:$C$504,$A43)</f>
        <v>2</v>
      </c>
    </row>
    <row r="44" customFormat="false" ht="15" hidden="false" customHeight="false" outlineLevel="0" collapsed="false">
      <c r="A44" s="29" t="s">
        <v>176</v>
      </c>
      <c r="B44" s="18" t="n">
        <f aca="false">SUMIFS('Giao dịch TK'!$D$5:$D$504,'Giao dịch TK'!$C$5:$C$504,$A44)</f>
        <v>3000</v>
      </c>
      <c r="C44" s="18" t="n">
        <f aca="false">SUMIFS('Giao dịch TK'!$E$5:$E$504,'Giao dịch TK'!$C$5:$C$504,$A44)</f>
        <v>6000</v>
      </c>
      <c r="D44" s="18" t="n">
        <f aca="false">SUMIFS('Giao dịch TK'!$F$5:$F$504,'Giao dịch TK'!$C$5:$C$504,$A44)</f>
        <v>0</v>
      </c>
      <c r="E44" s="18" t="n">
        <f aca="false">B44+C44-D44</f>
        <v>9000</v>
      </c>
      <c r="F44" s="18" t="n">
        <f aca="false">COUNTIFS('Giao dịch TK'!$C$5:$C$504,$A44)</f>
        <v>1</v>
      </c>
    </row>
    <row r="45" customFormat="false" ht="15" hidden="false" customHeight="false" outlineLevel="0" collapsed="false">
      <c r="A45" s="29" t="s">
        <v>182</v>
      </c>
      <c r="B45" s="18" t="n">
        <f aca="false">SUMIFS('Giao dịch TK'!$D$5:$D$504,'Giao dịch TK'!$C$5:$C$504,$A45)</f>
        <v>200</v>
      </c>
      <c r="C45" s="18" t="n">
        <f aca="false">SUMIFS('Giao dịch TK'!$E$5:$E$504,'Giao dịch TK'!$C$5:$C$504,$A45)</f>
        <v>0</v>
      </c>
      <c r="D45" s="18" t="n">
        <f aca="false">SUMIFS('Giao dịch TK'!$F$5:$F$504,'Giao dịch TK'!$C$5:$C$504,$A45)</f>
        <v>100</v>
      </c>
      <c r="E45" s="18" t="n">
        <f aca="false">B45+C45-D45</f>
        <v>100</v>
      </c>
      <c r="F45" s="18" t="n">
        <f aca="false">COUNTIFS('Giao dịch TK'!$C$5:$C$504,$A45)</f>
        <v>1</v>
      </c>
    </row>
    <row r="46" customFormat="false" ht="15" hidden="false" customHeight="false" outlineLevel="0" collapsed="false">
      <c r="A46" s="29" t="s">
        <v>196</v>
      </c>
      <c r="B46" s="18" t="n">
        <f aca="false">SUMIFS('Giao dịch TK'!$D$5:$D$504,'Giao dịch TK'!$C$5:$C$504,$A46)</f>
        <v>200</v>
      </c>
      <c r="C46" s="18" t="n">
        <f aca="false">SUMIFS('Giao dịch TK'!$E$5:$E$504,'Giao dịch TK'!$C$5:$C$504,$A46)</f>
        <v>0</v>
      </c>
      <c r="D46" s="18" t="n">
        <f aca="false">SUMIFS('Giao dịch TK'!$F$5:$F$504,'Giao dịch TK'!$C$5:$C$504,$A46)</f>
        <v>0</v>
      </c>
      <c r="E46" s="18" t="n">
        <f aca="false">B46+C46-D46</f>
        <v>200</v>
      </c>
      <c r="F46" s="18" t="n">
        <f aca="false">COUNTIFS('Giao dịch TK'!$C$5:$C$504,$A46)</f>
        <v>2</v>
      </c>
    </row>
    <row r="47" customFormat="false" ht="15" hidden="false" customHeight="false" outlineLevel="0" collapsed="false">
      <c r="A47" s="29" t="s">
        <v>223</v>
      </c>
      <c r="B47" s="18" t="n">
        <f aca="false">SUMIFS('Giao dịch TK'!$D$5:$D$504,'Giao dịch TK'!$C$5:$C$504,$A47)</f>
        <v>1000</v>
      </c>
      <c r="C47" s="18" t="n">
        <f aca="false">SUMIFS('Giao dịch TK'!$E$5:$E$504,'Giao dịch TK'!$C$5:$C$504,$A47)</f>
        <v>0</v>
      </c>
      <c r="D47" s="18" t="n">
        <f aca="false">SUMIFS('Giao dịch TK'!$F$5:$F$504,'Giao dịch TK'!$C$5:$C$504,$A47)</f>
        <v>0</v>
      </c>
      <c r="E47" s="18" t="n">
        <f aca="false">B47+C47-D47</f>
        <v>1000</v>
      </c>
      <c r="F47" s="18" t="n">
        <f aca="false">COUNTIFS('Giao dịch TK'!$C$5:$C$504,$A47)</f>
        <v>1</v>
      </c>
    </row>
    <row r="48" customFormat="false" ht="15" hidden="false" customHeight="false" outlineLevel="0" collapsed="false">
      <c r="A48" s="29" t="s">
        <v>152</v>
      </c>
      <c r="B48" s="18" t="n">
        <f aca="false">SUMIFS('Giao dịch TK'!$D$5:$D$504,'Giao dịch TK'!$C$5:$C$504,$A48)</f>
        <v>5000</v>
      </c>
      <c r="C48" s="18" t="n">
        <f aca="false">SUMIFS('Giao dịch TK'!$E$5:$E$504,'Giao dịch TK'!$C$5:$C$504,$A48)</f>
        <v>15000</v>
      </c>
      <c r="D48" s="18" t="n">
        <f aca="false">SUMIFS('Giao dịch TK'!$F$5:$F$504,'Giao dịch TK'!$C$5:$C$504,$A48)</f>
        <v>0</v>
      </c>
      <c r="E48" s="18" t="n">
        <f aca="false">B48+C48-D48</f>
        <v>20000</v>
      </c>
      <c r="F48" s="18" t="n">
        <f aca="false">COUNTIFS('Giao dịch TK'!$C$5:$C$504,$A48)</f>
        <v>1</v>
      </c>
    </row>
  </sheetData>
  <autoFilter ref="A4:F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260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261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31" t="s">
        <v>262</v>
      </c>
      <c r="B4" s="31" t="s">
        <v>263</v>
      </c>
      <c r="C4" s="31" t="s">
        <v>264</v>
      </c>
      <c r="D4" s="31" t="s">
        <v>265</v>
      </c>
      <c r="E4" s="31" t="s">
        <v>266</v>
      </c>
      <c r="F4" s="31" t="s">
        <v>267</v>
      </c>
    </row>
    <row r="5" customFormat="false" ht="15" hidden="false" customHeight="false" outlineLevel="0" collapsed="false">
      <c r="A5" s="54" t="s">
        <v>268</v>
      </c>
      <c r="B5" s="34" t="s">
        <v>269</v>
      </c>
      <c r="C5" s="25" t="n">
        <v>34550</v>
      </c>
      <c r="D5" s="15" t="n">
        <f aca="false">SUMIFS('Giao dịch TK'!$D$5:$D$504,'Giao dịch TK'!$B$5:$B$504,"WINDI",'Giao dịch TK'!$A$5:$A$504,DATE(2026,10,1))+SUMIFS('Giao dịch TK'!$E$5:$E$504,'Giao dịch TK'!$B$5:$B$504,"WINDI",'Giao dịch TK'!$A$5:$A$504,DATE(2026,10,1))</f>
        <v>34550</v>
      </c>
      <c r="E5" s="55" t="n">
        <f aca="false">D5-C5</f>
        <v>0</v>
      </c>
      <c r="F5" s="54" t="str">
        <f aca="false">IF(E5=0,"✓ Khớp","⚠ Lệch")</f>
        <v>✓ Khớp</v>
      </c>
    </row>
    <row r="6" customFormat="false" ht="15" hidden="false" customHeight="false" outlineLevel="0" collapsed="false">
      <c r="A6" s="54" t="s">
        <v>270</v>
      </c>
      <c r="B6" s="34" t="s">
        <v>271</v>
      </c>
      <c r="C6" s="25" t="n">
        <v>408</v>
      </c>
      <c r="D6" s="15" t="n">
        <f aca="false">SUMIFS('Giao dịch TK'!$F$5:$F$504,'Giao dịch TK'!$B$5:$B$504,"WINDI",'Giao dịch TK'!$A$5:$A$504,DATE(2026,10,1))</f>
        <v>408</v>
      </c>
      <c r="E6" s="55" t="n">
        <f aca="false">D6-C6</f>
        <v>0</v>
      </c>
      <c r="F6" s="54" t="str">
        <f aca="false">IF(E6=0,"✓ Khớp","⚠ Lệch")</f>
        <v>✓ Khớp</v>
      </c>
    </row>
    <row r="7" customFormat="false" ht="15" hidden="false" customHeight="false" outlineLevel="0" collapsed="false">
      <c r="A7" s="54" t="s">
        <v>272</v>
      </c>
      <c r="B7" s="34" t="s">
        <v>273</v>
      </c>
      <c r="C7" s="25" t="n">
        <v>19850</v>
      </c>
      <c r="D7" s="15" t="n">
        <f aca="false">SUMIFS('Giao dịch TK'!$D$5:$D$504,'Giao dịch TK'!$B$5:$B$504,"WINDI",'Giao dịch TK'!$A$5:$A$504,DATE(2026,10,2))+SUMIFS('Giao dịch TK'!$E$5:$E$504,'Giao dịch TK'!$B$5:$B$504,"WINDI",'Giao dịch TK'!$A$5:$A$504,DATE(2026,10,2))</f>
        <v>19850</v>
      </c>
      <c r="E7" s="55" t="n">
        <f aca="false">D7-C7</f>
        <v>0</v>
      </c>
      <c r="F7" s="54" t="str">
        <f aca="false">IF(E7=0,"✓ Khớp","⚠ Lệch")</f>
        <v>✓ Khớp</v>
      </c>
    </row>
    <row r="8" customFormat="false" ht="15" hidden="false" customHeight="false" outlineLevel="0" collapsed="false">
      <c r="A8" s="54" t="s">
        <v>274</v>
      </c>
      <c r="B8" s="34" t="s">
        <v>275</v>
      </c>
      <c r="C8" s="25" t="n">
        <v>1215</v>
      </c>
      <c r="D8" s="15" t="n">
        <f aca="false">SUMIFS('Giao dịch TK'!$F$5:$F$504,'Giao dịch TK'!$B$5:$B$504,"WINDI",'Giao dịch TK'!$A$5:$A$504,DATE(2026,10,2))</f>
        <v>1161</v>
      </c>
      <c r="E8" s="55" t="n">
        <f aca="false">D8-C8</f>
        <v>-54</v>
      </c>
      <c r="F8" s="54" t="str">
        <f aca="false">IF(E8=0,"✓ Khớp","⚠ Lệch")</f>
        <v>⚠ Lệch</v>
      </c>
    </row>
    <row r="9" customFormat="false" ht="15" hidden="false" customHeight="false" outlineLevel="0" collapsed="false">
      <c r="A9" s="54" t="s">
        <v>276</v>
      </c>
      <c r="B9" s="34" t="s">
        <v>277</v>
      </c>
      <c r="C9" s="25" t="n">
        <v>9250</v>
      </c>
      <c r="D9" s="15" t="n">
        <f aca="false">SUMIFS('Giao dịch TK'!$D$5:$D$504,'Giao dịch TK'!$B$5:$B$504,"WINDI",'Giao dịch TK'!$A$5:$A$504,DATE(2026,10,3))+SUMIFS('Giao dịch TK'!$E$5:$E$504,'Giao dịch TK'!$B$5:$B$504,"WINDI",'Giao dịch TK'!$A$5:$A$504,DATE(2026,10,3))</f>
        <v>9250</v>
      </c>
      <c r="E9" s="55" t="n">
        <f aca="false">D9-C9</f>
        <v>0</v>
      </c>
      <c r="F9" s="54" t="str">
        <f aca="false">IF(E9=0,"✓ Khớp","⚠ Lệch")</f>
        <v>✓ Khớp</v>
      </c>
    </row>
    <row r="10" customFormat="false" ht="15" hidden="false" customHeight="false" outlineLevel="0" collapsed="false">
      <c r="A10" s="54" t="s">
        <v>278</v>
      </c>
      <c r="B10" s="34" t="s">
        <v>279</v>
      </c>
      <c r="C10" s="25" t="n">
        <v>10000</v>
      </c>
      <c r="D10" s="15" t="n">
        <f aca="false">SUMIFS('Giao dịch TK'!$D$5:$D$504,'Giao dịch TK'!$B$5:$B$504,"WINDI",'Giao dịch TK'!$A$5:$A$504,DATE(2026,10,4))+SUMIFS('Giao dịch TK'!$E$5:$E$504,'Giao dịch TK'!$B$5:$B$504,"WINDI",'Giao dịch TK'!$A$5:$A$504,DATE(2026,10,4))</f>
        <v>10000</v>
      </c>
      <c r="E10" s="55" t="n">
        <f aca="false">D10-C10</f>
        <v>0</v>
      </c>
      <c r="F10" s="54" t="str">
        <f aca="false">IF(E10=0,"✓ Khớp","⚠ Lệch")</f>
        <v>✓ Khớp</v>
      </c>
    </row>
    <row r="11" customFormat="false" ht="15" hidden="false" customHeight="false" outlineLevel="0" collapsed="false">
      <c r="A11" s="54" t="s">
        <v>280</v>
      </c>
      <c r="B11" s="34" t="s">
        <v>281</v>
      </c>
      <c r="C11" s="25" t="n">
        <v>8200</v>
      </c>
      <c r="D11" s="15" t="n">
        <f aca="false">SUMIFS('Giao dịch TK'!$D$5:$D$504,'Giao dịch TK'!$B$5:$B$504,"CAO TIẾN",'Giao dịch TK'!$A$5:$A$504,DATE(2026,10,1))</f>
        <v>8200</v>
      </c>
      <c r="E11" s="55" t="n">
        <f aca="false">D11-C11</f>
        <v>0</v>
      </c>
      <c r="F11" s="54" t="str">
        <f aca="false">IF(E11=0,"✓ Khớp","⚠ Lệch")</f>
        <v>✓ Khớp</v>
      </c>
    </row>
    <row r="12" customFormat="false" ht="15" hidden="false" customHeight="false" outlineLevel="0" collapsed="false">
      <c r="A12" s="54" t="s">
        <v>282</v>
      </c>
      <c r="B12" s="34" t="s">
        <v>283</v>
      </c>
      <c r="C12" s="25" t="n">
        <v>150</v>
      </c>
      <c r="D12" s="15" t="n">
        <f aca="false">SUMIFS('Giao dịch TK'!$D$5:$D$504,'Giao dịch TK'!$B$5:$B$504,"CAO TIẾN",'Giao dịch TK'!$A$5:$A$504,DATE(2026,10,2))</f>
        <v>150</v>
      </c>
      <c r="E12" s="55" t="n">
        <f aca="false">D12-C12</f>
        <v>0</v>
      </c>
      <c r="F12" s="54" t="str">
        <f aca="false">IF(E12=0,"✓ Khớp","⚠ Lệch")</f>
        <v>✓ Khớp</v>
      </c>
    </row>
    <row r="13" customFormat="false" ht="15" hidden="false" customHeight="false" outlineLevel="0" collapsed="false">
      <c r="A13" s="54" t="s">
        <v>284</v>
      </c>
      <c r="B13" s="34" t="s">
        <v>285</v>
      </c>
      <c r="C13" s="25" t="n">
        <v>9</v>
      </c>
      <c r="D13" s="15" t="n">
        <f aca="false">SUMIFS('Giao dịch TK'!$D$5:$D$504,'Giao dịch TK'!$B$5:$B$504,"SU",'Giao dịch TK'!$A$5:$A$504,DATE(2026,10,1))-SUMIFS('Giao dịch TK'!$F$5:$F$504,'Giao dịch TK'!$B$5:$B$504,"SU",'Giao dịch TK'!$A$5:$A$504,DATE(2026,10,1))</f>
        <v>9</v>
      </c>
      <c r="E13" s="55" t="n">
        <f aca="false">D13-C13</f>
        <v>0</v>
      </c>
      <c r="F13" s="54" t="str">
        <f aca="false">IF(E13=0,"✓ Khớp","⚠ Lệch")</f>
        <v>✓ Khớp</v>
      </c>
    </row>
    <row r="14" customFormat="false" ht="15" hidden="false" customHeight="false" outlineLevel="0" collapsed="false">
      <c r="A14" s="54" t="s">
        <v>286</v>
      </c>
      <c r="B14" s="34" t="s">
        <v>287</v>
      </c>
      <c r="C14" s="25" t="n">
        <v>50</v>
      </c>
      <c r="D14" s="15" t="n">
        <f aca="false">SUMIFS('Giao dịch TK'!$D$5:$D$504,'Giao dịch TK'!$B$5:$B$504,"SU",'Giao dịch TK'!$A$5:$A$504,DATE(2026,10,2))-SUMIFS('Giao dịch TK'!$F$5:$F$504,'Giao dịch TK'!$B$5:$B$504,"SU",'Giao dịch TK'!$A$5:$A$504,DATE(2026,10,2))</f>
        <v>50</v>
      </c>
      <c r="E14" s="55" t="n">
        <f aca="false">D14-C14</f>
        <v>0</v>
      </c>
      <c r="F14" s="54" t="str">
        <f aca="false">IF(E14=0,"✓ Khớp","⚠ Lệch")</f>
        <v>✓ Khớp</v>
      </c>
    </row>
    <row r="15" customFormat="false" ht="15" hidden="false" customHeight="false" outlineLevel="0" collapsed="false">
      <c r="A15" s="54" t="s">
        <v>288</v>
      </c>
      <c r="B15" s="34" t="s">
        <v>289</v>
      </c>
      <c r="C15" s="25" t="n">
        <v>42572</v>
      </c>
      <c r="D15" s="15" t="n">
        <f aca="false">SUMIFS('Thu Chi'!$E$5:$E$504,'Thu Chi'!$C$5:$C$504,"Hoa hồng")</f>
        <v>42572</v>
      </c>
      <c r="E15" s="55" t="n">
        <f aca="false">D15-C15</f>
        <v>0</v>
      </c>
      <c r="F15" s="54" t="str">
        <f aca="false">IF(E15=0,"✓ Khớp","⚠ Lệch")</f>
        <v>✓ Khớp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</row>
    <row r="18" customFormat="false" ht="15" hidden="false" customHeight="false" outlineLevel="0" collapsed="false">
      <c r="A18" s="6" t="s">
        <v>290</v>
      </c>
      <c r="B18" s="2"/>
      <c r="C18" s="2"/>
      <c r="D18" s="2"/>
      <c r="E18" s="2"/>
      <c r="F18" s="2"/>
    </row>
    <row r="19" customFormat="false" ht="15" hidden="false" customHeight="false" outlineLevel="0" collapsed="false">
      <c r="A19" s="8" t="s">
        <v>291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8" t="s">
        <v>292</v>
      </c>
      <c r="B20" s="2"/>
      <c r="C20" s="2"/>
      <c r="D20" s="2"/>
      <c r="E20" s="2"/>
      <c r="F20" s="2"/>
    </row>
    <row r="21" customFormat="false" ht="15" hidden="false" customHeight="false" outlineLevel="0" collapsed="false">
      <c r="A21" s="8" t="s">
        <v>293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8" t="s">
        <v>294</v>
      </c>
      <c r="B22" s="2"/>
      <c r="C22" s="2"/>
      <c r="D22" s="2"/>
      <c r="E22" s="2"/>
      <c r="F22" s="2"/>
    </row>
    <row r="23" customFormat="false" ht="15" hidden="false" customHeight="false" outlineLevel="0" collapsed="false">
      <c r="A23" s="8" t="s">
        <v>295</v>
      </c>
      <c r="B23" s="2"/>
      <c r="C23" s="2"/>
      <c r="D23" s="2"/>
      <c r="E23" s="2"/>
      <c r="F23" s="2"/>
    </row>
    <row r="24" customFormat="false" ht="15" hidden="false" customHeight="false" outlineLevel="0" collapsed="false">
      <c r="A24" s="8" t="s">
        <v>296</v>
      </c>
      <c r="B24" s="2"/>
      <c r="C24" s="2"/>
      <c r="D24" s="2"/>
      <c r="E24" s="2"/>
      <c r="F24" s="2"/>
    </row>
    <row r="25" customFormat="false" ht="15" hidden="false" customHeight="false" outlineLevel="0" collapsed="false">
      <c r="A25" s="8" t="s">
        <v>297</v>
      </c>
      <c r="B25" s="2"/>
      <c r="C25" s="2"/>
      <c r="D25" s="2"/>
      <c r="E25" s="2"/>
      <c r="F25" s="2"/>
    </row>
    <row r="26" customFormat="false" ht="15" hidden="false" customHeight="false" outlineLevel="0" collapsed="false">
      <c r="A26" s="8" t="s">
        <v>298</v>
      </c>
      <c r="B26" s="2"/>
      <c r="C26" s="2"/>
      <c r="D26" s="2"/>
      <c r="E26" s="2"/>
      <c r="F26" s="2"/>
    </row>
    <row r="27" customFormat="false" ht="15" hidden="false" customHeight="false" outlineLevel="0" collapsed="false">
      <c r="A27" s="8" t="s">
        <v>299</v>
      </c>
      <c r="B27" s="2"/>
      <c r="C27" s="2"/>
      <c r="D27" s="2"/>
      <c r="E27" s="2"/>
      <c r="F27" s="2"/>
    </row>
  </sheetData>
  <conditionalFormatting sqref="A5:F15">
    <cfRule type="expression" priority="2" aboveAverage="0" equalAverage="0" bottom="0" percent="0" rank="0" text="" dxfId="9">
      <formula>$E5&lt;&gt;0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2026-10-05T15:43:39Z</dcterms:created>
  <dc:creator>openpyxl</dc:creator>
  <dc:description/>
  <dc:language>en-US</dc:language>
  <cp:lastModifiedBy/>
  <dcterms:modified xsi:type="dcterms:W3CDTF">2026-10-05T15:43:39Z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