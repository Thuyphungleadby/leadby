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ướng dẫn" sheetId="1" state="visible" r:id="rId3"/>
    <sheet name="Tổng hợp" sheetId="2" state="visible" r:id="rId4"/>
    <sheet name="Danh mục" sheetId="3" state="visible" r:id="rId5"/>
    <sheet name="Thu Chi" sheetId="4" state="visible" r:id="rId6"/>
    <sheet name="Giao dịch TK" sheetId="5" state="visible" r:id="rId7"/>
    <sheet name="Theo TK" sheetId="6" state="visible" r:id="rId8"/>
    <sheet name="Đối chiếu file cũ" sheetId="7" state="visible" r:id="rId9"/>
  </sheets>
  <definedNames>
    <definedName function="false" hidden="true" localSheetId="4" name="_xlnm._FilterDatabase" vbProcedure="false">'Giao dịch TK'!$A$4:$I$504</definedName>
    <definedName function="false" hidden="true" localSheetId="5" name="_xlnm._FilterDatabase" vbProcedure="false">'Theo TK'!$A$4:$F$48</definedName>
    <definedName function="false" hidden="true" localSheetId="3" name="_xlnm._FilterDatabase" vbProcedure="false">'Thu Chi'!$A$4:$I$504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Nhập số tiền quỹ có sẵn trước ngày 01/10/2026. File gốc không ghi số này nên đang để 0.</t>
        </r>
      </text>
    </comment>
  </commentList>
</comments>
</file>

<file path=xl/sharedStrings.xml><?xml version="1.0" encoding="utf-8"?>
<sst xmlns="http://schemas.openxmlformats.org/spreadsheetml/2006/main" count="494" uniqueCount="293">
  <si>
    <t xml:space="preserve">HƯỚNG DẪN SỬ DỤNG</t>
  </si>
  <si>
    <t xml:space="preserve">Tạo từ file SU.xlsx — dữ liệu 01/10 đến 05/10/2026.</t>
  </si>
  <si>
    <t xml:space="preserve">Sheet</t>
  </si>
  <si>
    <t xml:space="preserve">Dùng để</t>
  </si>
  <si>
    <t xml:space="preserve">Tổng hợp</t>
  </si>
  <si>
    <t xml:space="preserve">Xem nhanh: số dư quỹ, chi theo loại, nạp/đơn/rút theo nhân viên, thu chi theo từng ngày. Chỉ xem, không sửa.</t>
  </si>
  <si>
    <t xml:space="preserve">Thu Chi</t>
  </si>
  <si>
    <t xml:space="preserve">NHẬP mọi khoản tiền thu vào / chi ra. Ghi số dương vào cột Thu hoặc Chi. Cột Số dư tự tính.</t>
  </si>
  <si>
    <t xml:space="preserve">Giao dịch TK</t>
  </si>
  <si>
    <t xml:space="preserve">NHẬP nạp / đơn / rút của từng tài khoản khách, theo nhân viên. Rút ghi số dương.</t>
  </si>
  <si>
    <t xml:space="preserve">Theo TK</t>
  </si>
  <si>
    <t xml:space="preserve">Tổng hợp theo tên tài khoản. Thêm TK mới vào cuối cột A.</t>
  </si>
  <si>
    <t xml:space="preserve">Danh mục</t>
  </si>
  <si>
    <t xml:space="preserve">Danh sách nhân viên, loại thu chi, người chi/nhận (để chọn) và Số dư đầu kỳ (ô vàng).</t>
  </si>
  <si>
    <t xml:space="preserve">Đối chiếu file cũ</t>
  </si>
  <si>
    <t xml:space="preserve">So sánh các tổng gõ tay trong file cũ với số tính lại + danh sách điểm cần xác nhận.</t>
  </si>
  <si>
    <t xml:space="preserve">Quy ước màu</t>
  </si>
  <si>
    <t xml:space="preserve">Chữ xanh dương</t>
  </si>
  <si>
    <t xml:space="preserve">Ô nhập liệu — được sửa.</t>
  </si>
  <si>
    <t xml:space="preserve">Chữ đen</t>
  </si>
  <si>
    <t xml:space="preserve">Công thức — không sửa.</t>
  </si>
  <si>
    <t xml:space="preserve">Chữ xanh lá</t>
  </si>
  <si>
    <t xml:space="preserve">Lấy từ sheet khác.</t>
  </si>
  <si>
    <t xml:space="preserve">Nền vàng</t>
  </si>
  <si>
    <t xml:space="preserve">Ô cần điền (Số dư đầu kỳ).</t>
  </si>
  <si>
    <t xml:space="preserve">Nền cam</t>
  </si>
  <si>
    <t xml:space="preserve">Dòng có nghi vấn, cần kiểm tra lại.</t>
  </si>
  <si>
    <t xml:space="preserve">Ví dụ dòng Thu Chi</t>
  </si>
  <si>
    <t xml:space="preserve">06/10/2026 | SU | Nguyên liệu | (Thu trống) | 1.500 | Mua sim | | </t>
  </si>
  <si>
    <t xml:space="preserve">Ví dụ dòng Giao dịch</t>
  </si>
  <si>
    <t xml:space="preserve">06/10/2026 | WINDI | abc123 | 500 | | 200 |</t>
  </si>
  <si>
    <t xml:space="preserve">Lưu ý</t>
  </si>
  <si>
    <t xml:space="preserve">Mỗi sheet nhập liệu có sẵn 500 dòng có định dạng; các bảng tổng hợp đã tính sẵn cho đủ 500 dòng.</t>
  </si>
  <si>
    <t xml:space="preserve">TỔNG HỢP THU CHI THÁNG 10/2026</t>
  </si>
  <si>
    <t xml:space="preserve">Toàn bộ số trên sheet này là công thức — không cần sửa tay.</t>
  </si>
  <si>
    <t xml:space="preserve">1. QUỸ</t>
  </si>
  <si>
    <t xml:space="preserve">Chi theo loại</t>
  </si>
  <si>
    <t xml:space="preserve">Số dư đầu kỳ</t>
  </si>
  <si>
    <t xml:space="preserve">Loại</t>
  </si>
  <si>
    <t xml:space="preserve">Thu</t>
  </si>
  <si>
    <t xml:space="preserve">Chi</t>
  </si>
  <si>
    <t xml:space="preserve">% tổng chi</t>
  </si>
  <si>
    <t xml:space="preserve">Tổng thu</t>
  </si>
  <si>
    <t xml:space="preserve">Tổng chi</t>
  </si>
  <si>
    <t xml:space="preserve">Số dư cuối kỳ</t>
  </si>
  <si>
    <t xml:space="preserve">Cộng</t>
  </si>
  <si>
    <t xml:space="preserve">2. NẠP / ĐƠN / RÚT THEO NHÂN VIÊN</t>
  </si>
  <si>
    <t xml:space="preserve">Nhân viên / Đại lý</t>
  </si>
  <si>
    <t xml:space="preserve">Nạp</t>
  </si>
  <si>
    <t xml:space="preserve">Đơn</t>
  </si>
  <si>
    <t xml:space="preserve">Rút</t>
  </si>
  <si>
    <t xml:space="preserve">Nạp − Rút</t>
  </si>
  <si>
    <t xml:space="preserve">Nạp + Đơn</t>
  </si>
  <si>
    <t xml:space="preserve">Số dòng GD</t>
  </si>
  <si>
    <t xml:space="preserve">Hoa hồng đã chi</t>
  </si>
  <si>
    <t xml:space="preserve">Cột 'Hoa hồng đã chi' lấy từ sheet Thu Chi (Loại = Hoa hồng, theo tên người nhận).</t>
  </si>
  <si>
    <t xml:space="preserve">3. THEO NGÀY</t>
  </si>
  <si>
    <t xml:space="preserve">Ngày</t>
  </si>
  <si>
    <t xml:space="preserve">Thu − Chi</t>
  </si>
  <si>
    <t xml:space="preserve">Số dư cuối ngày</t>
  </si>
  <si>
    <t xml:space="preserve">Nạp (TK)</t>
  </si>
  <si>
    <t xml:space="preserve">Đơn (TK)</t>
  </si>
  <si>
    <t xml:space="preserve">Rút (TK)</t>
  </si>
  <si>
    <t xml:space="preserve">Không rõ ngày</t>
  </si>
  <si>
    <t xml:space="preserve">Cộng tháng</t>
  </si>
  <si>
    <t xml:space="preserve">DANH MỤC</t>
  </si>
  <si>
    <t xml:space="preserve">Thêm tên mới vào cuối mỗi cột — danh sách chọn ở các sheet khác sẽ tự cập nhật.</t>
  </si>
  <si>
    <t xml:space="preserve">Loại thu chi</t>
  </si>
  <si>
    <t xml:space="preserve">Người chi / nhận</t>
  </si>
  <si>
    <t xml:space="preserve">WINDI</t>
  </si>
  <si>
    <t xml:space="preserve">Nhận tiền</t>
  </si>
  <si>
    <t xml:space="preserve">SU</t>
  </si>
  <si>
    <t xml:space="preserve">Số dư đầu kỳ (quỹ):</t>
  </si>
  <si>
    <t xml:space="preserve">CAO TIẾN</t>
  </si>
  <si>
    <t xml:space="preserve">Hoa hồng</t>
  </si>
  <si>
    <t xml:space="preserve">GIA</t>
  </si>
  <si>
    <t xml:space="preserve">Nguyên liệu</t>
  </si>
  <si>
    <t xml:space="preserve">CHƯA RÕ (bảng cột Y)</t>
  </si>
  <si>
    <t xml:space="preserve">Mua sắm</t>
  </si>
  <si>
    <t xml:space="preserve">LOUIS</t>
  </si>
  <si>
    <t xml:space="preserve">ĐẠI LÝ NGỌC LINH 65</t>
  </si>
  <si>
    <t xml:space="preserve">Trả nền tảng</t>
  </si>
  <si>
    <t xml:space="preserve">A CHÁN</t>
  </si>
  <si>
    <t xml:space="preserve">RICON</t>
  </si>
  <si>
    <t xml:space="preserve">Ứng</t>
  </si>
  <si>
    <t xml:space="preserve">WINDY</t>
  </si>
  <si>
    <t xml:space="preserve">Khác</t>
  </si>
  <si>
    <t xml:space="preserve">ĐẠI LÝ NGỌC LINH</t>
  </si>
  <si>
    <t xml:space="preserve">MÙ TẠT</t>
  </si>
  <si>
    <t xml:space="preserve">SỔ THU CHI THÁNG 10/2026</t>
  </si>
  <si>
    <t xml:space="preserve">Mỗi dòng = 1 khoản. Ghi số tiền vào cột THU hoặc CHI (số dương). Cột Số dư tự tính.</t>
  </si>
  <si>
    <t xml:space="preserve">Số dư</t>
  </si>
  <si>
    <t xml:space="preserve">Nội dung</t>
  </si>
  <si>
    <t xml:space="preserve">Nguồn (file cũ)</t>
  </si>
  <si>
    <t xml:space="preserve">Ghi chú</t>
  </si>
  <si>
    <t xml:space="preserve">Duy Mạnh</t>
  </si>
  <si>
    <t xml:space="preserve">THU CHI!E3</t>
  </si>
  <si>
    <t xml:space="preserve">Tele nhóm</t>
  </si>
  <si>
    <t xml:space="preserve">THU CHI!E4</t>
  </si>
  <si>
    <t xml:space="preserve">Rin</t>
  </si>
  <si>
    <t xml:space="preserve">THU CHI!E5</t>
  </si>
  <si>
    <t xml:space="preserve">THU CHI!E6</t>
  </si>
  <si>
    <t xml:space="preserve">Nâng sao tele</t>
  </si>
  <si>
    <t xml:space="preserve">THU CHI!E9</t>
  </si>
  <si>
    <t xml:space="preserve">THU CHI!E12</t>
  </si>
  <si>
    <t xml:space="preserve">File gốc không ghi nội dung</t>
  </si>
  <si>
    <t xml:space="preserve">su!C2</t>
  </si>
  <si>
    <t xml:space="preserve">Mua tủ lạnh</t>
  </si>
  <si>
    <t xml:space="preserve">su!D2</t>
  </si>
  <si>
    <t xml:space="preserve">Nguyên liệu nhóm</t>
  </si>
  <si>
    <t xml:space="preserve">su!D3 = THU CHI!E18</t>
  </si>
  <si>
    <t xml:space="preserve">Có ở cả 2 sheet cũ — chỉ ghi 1 lần</t>
  </si>
  <si>
    <t xml:space="preserve">Mua bank</t>
  </si>
  <si>
    <t xml:space="preserve">THU CHI!E15</t>
  </si>
  <si>
    <t xml:space="preserve">HH THANG 10!D2</t>
  </si>
  <si>
    <t xml:space="preserve">HH THANG 10!D3</t>
  </si>
  <si>
    <t xml:space="preserve">su!C4</t>
  </si>
  <si>
    <t xml:space="preserve">su!C5</t>
  </si>
  <si>
    <t xml:space="preserve">Mua máy tính</t>
  </si>
  <si>
    <t xml:space="preserve">su!D4</t>
  </si>
  <si>
    <t xml:space="preserve">Mua quạt nhân viên</t>
  </si>
  <si>
    <t xml:space="preserve">su!D5</t>
  </si>
  <si>
    <t xml:space="preserve">Mua bồn cầu</t>
  </si>
  <si>
    <t xml:space="preserve">su!D6</t>
  </si>
  <si>
    <t xml:space="preserve">HH THANG 10!D4</t>
  </si>
  <si>
    <t xml:space="preserve">Hoa hồng Windy</t>
  </si>
  <si>
    <t xml:space="preserve">su!D7 = HH THANG 10!D5</t>
  </si>
  <si>
    <t xml:space="preserve">su!C8</t>
  </si>
  <si>
    <t xml:space="preserve">KIỂM TRA: lớn gấp ~10 lần ngày khác, có thể gõ thừa số 0</t>
  </si>
  <si>
    <t xml:space="preserve">su!D8</t>
  </si>
  <si>
    <t xml:space="preserve">File gốc chỉ ghi 'GIA'</t>
  </si>
  <si>
    <t xml:space="preserve">su!D9</t>
  </si>
  <si>
    <t xml:space="preserve">Mua ss</t>
  </si>
  <si>
    <t xml:space="preserve">THU CHI!E19</t>
  </si>
  <si>
    <t xml:space="preserve">Không có trong sheet 'su' cũ — cần xác nhận</t>
  </si>
  <si>
    <t xml:space="preserve">Nền tảng</t>
  </si>
  <si>
    <t xml:space="preserve">su!D10</t>
  </si>
  <si>
    <t xml:space="preserve">su!D11</t>
  </si>
  <si>
    <t xml:space="preserve">File gốc chỉ ghi 'gia'</t>
  </si>
  <si>
    <t xml:space="preserve">su!D12</t>
  </si>
  <si>
    <t xml:space="preserve">GIAO DỊCH NẠP / ĐƠN / RÚT THEO TÀI KHOẢN</t>
  </si>
  <si>
    <t xml:space="preserve">Rút ghi SỐ DƯƠNG. Mỗi dòng = 1 tài khoản trong 1 ngày.</t>
  </si>
  <si>
    <t xml:space="preserve">Tên TK</t>
  </si>
  <si>
    <t xml:space="preserve">khiem99z</t>
  </si>
  <si>
    <t xml:space="preserve">tháng 10!C5</t>
  </si>
  <si>
    <t xml:space="preserve">zinssha</t>
  </si>
  <si>
    <t xml:space="preserve">tháng 10!C6</t>
  </si>
  <si>
    <t xml:space="preserve">linhnhi6868</t>
  </si>
  <si>
    <t xml:space="preserve">tháng 10!C7</t>
  </si>
  <si>
    <t xml:space="preserve">junjin91</t>
  </si>
  <si>
    <t xml:space="preserve">tháng 10!C8</t>
  </si>
  <si>
    <t xml:space="preserve">congacon</t>
  </si>
  <si>
    <t xml:space="preserve">tháng 10!C9</t>
  </si>
  <si>
    <t xml:space="preserve">andanh8386</t>
  </si>
  <si>
    <t xml:space="preserve">tháng 10!C10</t>
  </si>
  <si>
    <t xml:space="preserve">linh6868</t>
  </si>
  <si>
    <t xml:space="preserve">tháng 10!C11</t>
  </si>
  <si>
    <t xml:space="preserve">beannie</t>
  </si>
  <si>
    <t xml:space="preserve">tháng 10!C12</t>
  </si>
  <si>
    <t xml:space="preserve">buingoc66</t>
  </si>
  <si>
    <t xml:space="preserve">tháng 10!C13</t>
  </si>
  <si>
    <t xml:space="preserve">tháng 10!C17</t>
  </si>
  <si>
    <t xml:space="preserve">tháng 10!C18</t>
  </si>
  <si>
    <t xml:space="preserve">tháng 10!C19</t>
  </si>
  <si>
    <t xml:space="preserve">tháng 10!C20</t>
  </si>
  <si>
    <t xml:space="preserve">haithanh89</t>
  </si>
  <si>
    <t xml:space="preserve">tháng 10!C21</t>
  </si>
  <si>
    <t xml:space="preserve">cao774</t>
  </si>
  <si>
    <t xml:space="preserve">tháng 10!C22</t>
  </si>
  <si>
    <t xml:space="preserve">traidep2236</t>
  </si>
  <si>
    <t xml:space="preserve">tháng 10!C26</t>
  </si>
  <si>
    <t xml:space="preserve">tháng 10!C27</t>
  </si>
  <si>
    <t xml:space="preserve">tháng 10!C28</t>
  </si>
  <si>
    <t xml:space="preserve">tháng 10!C29</t>
  </si>
  <si>
    <t xml:space="preserve">File gốc ghi rút +700 (các dòng khác ghi số âm)</t>
  </si>
  <si>
    <t xml:space="preserve">vansuol123</t>
  </si>
  <si>
    <t xml:space="preserve">tháng 10!K4</t>
  </si>
  <si>
    <t xml:space="preserve">Có thể là 'vansuong123' (gõ nhầm?)</t>
  </si>
  <si>
    <t xml:space="preserve">phanvandieu</t>
  </si>
  <si>
    <t xml:space="preserve">tháng 10!K5</t>
  </si>
  <si>
    <t xml:space="preserve">phandz9999</t>
  </si>
  <si>
    <t xml:space="preserve">tháng 10!K6</t>
  </si>
  <si>
    <t xml:space="preserve">camon28</t>
  </si>
  <si>
    <t xml:space="preserve">tháng 10!K7</t>
  </si>
  <si>
    <t xml:space="preserve">(không ghi tên)</t>
  </si>
  <si>
    <t xml:space="preserve">tháng 10!N8</t>
  </si>
  <si>
    <t xml:space="preserve">File gốc thiếu tên TK</t>
  </si>
  <si>
    <t xml:space="preserve">havantung</t>
  </si>
  <si>
    <t xml:space="preserve">tháng 10!K11</t>
  </si>
  <si>
    <t xml:space="preserve">vansuong123</t>
  </si>
  <si>
    <t xml:space="preserve">tháng 10!K12</t>
  </si>
  <si>
    <t xml:space="preserve">tháng 10!K15</t>
  </si>
  <si>
    <t xml:space="preserve">rang188</t>
  </si>
  <si>
    <t xml:space="preserve">tháng 10!K16</t>
  </si>
  <si>
    <t xml:space="preserve">subhdantribcr2026</t>
  </si>
  <si>
    <t xml:space="preserve">tháng 10!K17</t>
  </si>
  <si>
    <t xml:space="preserve">hieu1996</t>
  </si>
  <si>
    <t xml:space="preserve">tháng 10!K18</t>
  </si>
  <si>
    <t xml:space="preserve">baomini8386</t>
  </si>
  <si>
    <t xml:space="preserve">tháng 10!K19</t>
  </si>
  <si>
    <t xml:space="preserve">thuthuy07007</t>
  </si>
  <si>
    <t xml:space="preserve">tháng 10!K20</t>
  </si>
  <si>
    <t xml:space="preserve">cuong1992</t>
  </si>
  <si>
    <t xml:space="preserve">tháng 10!K21</t>
  </si>
  <si>
    <t xml:space="preserve">tháng 10!K22</t>
  </si>
  <si>
    <t xml:space="preserve">haidang186</t>
  </si>
  <si>
    <t xml:space="preserve">tháng 10!K23</t>
  </si>
  <si>
    <t xml:space="preserve">nguoila12c</t>
  </si>
  <si>
    <t xml:space="preserve">tháng 10!K24</t>
  </si>
  <si>
    <t xml:space="preserve">nhatbcr678</t>
  </si>
  <si>
    <t xml:space="preserve">tháng 10!K25</t>
  </si>
  <si>
    <t xml:space="preserve">kevotinh3</t>
  </si>
  <si>
    <t xml:space="preserve">tháng 10!K26</t>
  </si>
  <si>
    <t xml:space="preserve">tháng 10!K27</t>
  </si>
  <si>
    <t xml:space="preserve">plsonsoi</t>
  </si>
  <si>
    <t xml:space="preserve">tháng 10!K28</t>
  </si>
  <si>
    <t xml:space="preserve">xechorac1</t>
  </si>
  <si>
    <t xml:space="preserve">tháng 10!K29</t>
  </si>
  <si>
    <t xml:space="preserve">tháng 10!K30</t>
  </si>
  <si>
    <t xml:space="preserve">nguyenn08</t>
  </si>
  <si>
    <t xml:space="preserve">tháng 10!K31</t>
  </si>
  <si>
    <t xml:space="preserve">haidangdzd</t>
  </si>
  <si>
    <t xml:space="preserve">tháng 10!K32</t>
  </si>
  <si>
    <t xml:space="preserve">ngocanh8386</t>
  </si>
  <si>
    <t xml:space="preserve">tháng 10!K33</t>
  </si>
  <si>
    <t xml:space="preserve">thangdien777</t>
  </si>
  <si>
    <t xml:space="preserve">tháng 10!S4</t>
  </si>
  <si>
    <t xml:space="preserve">quanghuyyy01</t>
  </si>
  <si>
    <t xml:space="preserve">tháng 10!S5</t>
  </si>
  <si>
    <t xml:space="preserve">tháng 10!S6</t>
  </si>
  <si>
    <t xml:space="preserve">quoc2004</t>
  </si>
  <si>
    <t xml:space="preserve">tháng 10!S7</t>
  </si>
  <si>
    <t xml:space="preserve">diem1995</t>
  </si>
  <si>
    <t xml:space="preserve">tháng 10!S8</t>
  </si>
  <si>
    <t xml:space="preserve">tháng 10!S9</t>
  </si>
  <si>
    <t xml:space="preserve">KIỂM TRA: đơn 4.600 trùng với ngày 03/10 — có nhập trùng?</t>
  </si>
  <si>
    <t xml:space="preserve">msuc17919</t>
  </si>
  <si>
    <t xml:space="preserve">tháng 10!AA4</t>
  </si>
  <si>
    <t xml:space="preserve">tháng 10!AB5</t>
  </si>
  <si>
    <t xml:space="preserve">nhat2143</t>
  </si>
  <si>
    <t xml:space="preserve">tháng 10!AA6</t>
  </si>
  <si>
    <t xml:space="preserve">thanhtridf999</t>
  </si>
  <si>
    <t xml:space="preserve">tháng 10!AG4</t>
  </si>
  <si>
    <t xml:space="preserve">File gốc không có cột ngày</t>
  </si>
  <si>
    <t xml:space="preserve">Lethilai</t>
  </si>
  <si>
    <t xml:space="preserve">tháng 10!AG5</t>
  </si>
  <si>
    <t xml:space="preserve">khoa7778</t>
  </si>
  <si>
    <t xml:space="preserve">tháng 10!AN4</t>
  </si>
  <si>
    <t xml:space="preserve">ah1234567</t>
  </si>
  <si>
    <t xml:space="preserve">tháng 10!AN6</t>
  </si>
  <si>
    <t xml:space="preserve">TỔNG HỢP THEO TÀI KHOẢN</t>
  </si>
  <si>
    <t xml:space="preserve">Danh sách TK lấy từ dữ liệu hiện có. Thêm TK mới vào cuối cột A để theo dõi.</t>
  </si>
  <si>
    <t xml:space="preserve">Số lần GD</t>
  </si>
  <si>
    <t xml:space="preserve">ĐỐI CHIẾU VỚI CÁC SỐ TỔNG GÕ TAY TRONG FILE CŨ</t>
  </si>
  <si>
    <t xml:space="preserve">Cột 'File cũ' là số chép từ file SU.xlsx. Cột 'Tính lại' là công thức trên dữ liệu mới.</t>
  </si>
  <si>
    <t xml:space="preserve">Hạng mục</t>
  </si>
  <si>
    <t xml:space="preserve">Ô file cũ</t>
  </si>
  <si>
    <t xml:space="preserve">File cũ</t>
  </si>
  <si>
    <t xml:space="preserve">Tính lại</t>
  </si>
  <si>
    <t xml:space="preserve">Chênh lệch</t>
  </si>
  <si>
    <t xml:space="preserve">Kết quả</t>
  </si>
  <si>
    <t xml:space="preserve">WINDI 01/10 — Nạp + Đơn</t>
  </si>
  <si>
    <t xml:space="preserve">tháng 10!G4</t>
  </si>
  <si>
    <t xml:space="preserve">WINDI 01/10 — Rút</t>
  </si>
  <si>
    <t xml:space="preserve">tháng 10!F14</t>
  </si>
  <si>
    <t xml:space="preserve">WINDI 02/10 — Nạp + Đơn</t>
  </si>
  <si>
    <t xml:space="preserve">tháng 10!G17</t>
  </si>
  <si>
    <t xml:space="preserve">WINDI 02/10 — Rút</t>
  </si>
  <si>
    <t xml:space="preserve">tháng 10!F23</t>
  </si>
  <si>
    <t xml:space="preserve">WINDI 03/10 — Nạp + Đơn</t>
  </si>
  <si>
    <t xml:space="preserve">tháng 10!G26</t>
  </si>
  <si>
    <t xml:space="preserve">WINDI 04/10 — Nạp + Đơn</t>
  </si>
  <si>
    <t xml:space="preserve">tháng 10!G28</t>
  </si>
  <si>
    <t xml:space="preserve">CAO TIẾN 01/10 — Nạp</t>
  </si>
  <si>
    <t xml:space="preserve">tháng 10!O4</t>
  </si>
  <si>
    <t xml:space="preserve">CAO TIẾN 02/10 — Nạp</t>
  </si>
  <si>
    <t xml:space="preserve">tháng 10!O11</t>
  </si>
  <si>
    <t xml:space="preserve">SU 01/10 — Nạp − Rút</t>
  </si>
  <si>
    <t xml:space="preserve">tháng 10!W4</t>
  </si>
  <si>
    <t xml:space="preserve">SU 02/10 — Nạp − Rút</t>
  </si>
  <si>
    <t xml:space="preserve">tháng 10!W6</t>
  </si>
  <si>
    <t xml:space="preserve">Tổng hoa hồng (HH THANG 10)</t>
  </si>
  <si>
    <t xml:space="preserve">HH THANG 10!D2:D5</t>
  </si>
  <si>
    <t xml:space="preserve">Các điểm cần xác nhận (đã tô cam trong sheet Thu Chi / Giao dịch TK):</t>
  </si>
  <si>
    <t xml:space="preserve">• WINDI 02/10: file cũ ghi tổng rút 1.215 nhưng 206 + 955 = 1.161 (lệch 54).</t>
  </si>
  <si>
    <t xml:space="preserve">• Sheet 'su' 04/10 nhận 300.000 — lớn bất thường, có thể gõ thừa số 0.</t>
  </si>
  <si>
    <t xml:space="preserve">• quoc2004 có đơn 4.600 cả ngày 03/10 và 05/10 — có thể nhập trùng.</t>
  </si>
  <si>
    <t xml:space="preserve">• THU CHI 04/10 'su mua ss 4600' không có trong sheet 'su'.</t>
  </si>
  <si>
    <t xml:space="preserve">• 'vansuol123' và 'vansuong123' có thể là cùng 1 TK.</t>
  </si>
  <si>
    <t xml:space="preserve">• Đại lý Ngọc Linh 65 không có ngày giao dịch; 2 dòng thiếu tên TK.</t>
  </si>
  <si>
    <t xml:space="preserve">• Khoản 'su mua nl 2300' và 'HH WINDY 23772' có ở 2 sheet cũ — file mới chỉ ghi 1 lần.</t>
  </si>
  <si>
    <t xml:space="preserve">• Sheet 'su' có nhiều khoản chỉ ghi 'GIA' — đã xếp loại 'Khác', nên bổ sung nội dung.</t>
  </si>
  <si>
    <t xml:space="preserve">• Đơn vị tiền không ghi trong file cũ (có thể là nghìn đồng) — giữ nguyên số.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</si>
</sst>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-0.0%;\-"/>
    <numFmt numFmtId="167" formatCode="0.0%"/>
    <numFmt numFmtId="168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sz val="11"/>
      <color rgb="FF7F7F7F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BFBFBF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6" t="s">
        <v>4</v>
      </c>
      <c r="B5" s="7" t="s">
        <v>5</v>
      </c>
    </row>
    <row r="6" customFormat="false" ht="15" hidden="false" customHeight="false" outlineLevel="0" collapsed="false">
      <c r="A6" s="6" t="s">
        <v>6</v>
      </c>
      <c r="B6" s="7" t="s">
        <v>7</v>
      </c>
    </row>
    <row r="7" customFormat="false" ht="15" hidden="false" customHeight="false" outlineLevel="0" collapsed="false">
      <c r="A7" s="6" t="s">
        <v>8</v>
      </c>
      <c r="B7" s="7" t="s">
        <v>9</v>
      </c>
    </row>
    <row r="8" customFormat="false" ht="15" hidden="false" customHeight="false" outlineLevel="0" collapsed="false">
      <c r="A8" s="6" t="s">
        <v>10</v>
      </c>
      <c r="B8" s="7" t="s">
        <v>11</v>
      </c>
    </row>
    <row r="9" customFormat="false" ht="15" hidden="false" customHeight="false" outlineLevel="0" collapsed="false">
      <c r="A9" s="6" t="s">
        <v>12</v>
      </c>
      <c r="B9" s="7" t="s">
        <v>13</v>
      </c>
    </row>
    <row r="10" customFormat="false" ht="15" hidden="false" customHeight="false" outlineLevel="0" collapsed="false">
      <c r="A10" s="6" t="s">
        <v>14</v>
      </c>
      <c r="B10" s="7" t="s">
        <v>15</v>
      </c>
    </row>
    <row r="11" customFormat="false" ht="15" hidden="false" customHeight="false" outlineLevel="0" collapsed="false">
      <c r="A11" s="8"/>
      <c r="B11" s="7"/>
    </row>
    <row r="12" customFormat="false" ht="15" hidden="false" customHeight="false" outlineLevel="0" collapsed="false">
      <c r="A12" s="6" t="s">
        <v>16</v>
      </c>
      <c r="B12" s="7"/>
    </row>
    <row r="13" customFormat="false" ht="15" hidden="false" customHeight="false" outlineLevel="0" collapsed="false">
      <c r="A13" s="9" t="s">
        <v>17</v>
      </c>
      <c r="B13" s="7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</row>
    <row r="15" customFormat="false" ht="15" hidden="false" customHeight="false" outlineLevel="0" collapsed="false">
      <c r="A15" s="10" t="s">
        <v>21</v>
      </c>
      <c r="B15" s="7" t="s">
        <v>22</v>
      </c>
    </row>
    <row r="16" customFormat="false" ht="15" hidden="false" customHeight="false" outlineLevel="0" collapsed="false">
      <c r="A16" s="11" t="s">
        <v>23</v>
      </c>
      <c r="B16" s="7" t="s">
        <v>24</v>
      </c>
    </row>
    <row r="17" customFormat="false" ht="15" hidden="false" customHeight="false" outlineLevel="0" collapsed="false">
      <c r="A17" s="12" t="s">
        <v>25</v>
      </c>
      <c r="B17" s="7" t="s">
        <v>26</v>
      </c>
    </row>
    <row r="18" customFormat="false" ht="15" hidden="false" customHeight="false" outlineLevel="0" collapsed="false">
      <c r="A18" s="8"/>
      <c r="B18" s="7"/>
    </row>
    <row r="19" customFormat="false" ht="15" hidden="false" customHeight="false" outlineLevel="0" collapsed="false">
      <c r="A19" s="8" t="s">
        <v>27</v>
      </c>
      <c r="B19" s="7" t="s">
        <v>28</v>
      </c>
    </row>
    <row r="20" customFormat="false" ht="15" hidden="false" customHeight="false" outlineLevel="0" collapsed="false">
      <c r="A20" s="8" t="s">
        <v>29</v>
      </c>
      <c r="B20" s="7" t="s">
        <v>30</v>
      </c>
    </row>
    <row r="21" customFormat="false" ht="15" hidden="false" customHeight="false" outlineLevel="0" collapsed="false">
      <c r="A21" s="8" t="s">
        <v>31</v>
      </c>
      <c r="B21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33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3" t="s">
        <v>35</v>
      </c>
      <c r="B4" s="2"/>
      <c r="C4" s="2"/>
      <c r="D4" s="13" t="s">
        <v>36</v>
      </c>
      <c r="E4" s="2"/>
      <c r="F4" s="2"/>
      <c r="G4" s="2"/>
      <c r="H4" s="2"/>
    </row>
    <row r="5" customFormat="false" ht="15" hidden="false" customHeight="false" outlineLevel="0" collapsed="false">
      <c r="A5" s="14" t="s">
        <v>37</v>
      </c>
      <c r="B5" s="15" t="n">
        <f aca="false">'Danh mục'!F5</f>
        <v>0</v>
      </c>
      <c r="C5" s="2"/>
      <c r="D5" s="16" t="s">
        <v>38</v>
      </c>
      <c r="E5" s="16" t="s">
        <v>39</v>
      </c>
      <c r="F5" s="16" t="s">
        <v>40</v>
      </c>
      <c r="G5" s="16" t="s">
        <v>41</v>
      </c>
      <c r="H5" s="2"/>
    </row>
    <row r="6" customFormat="false" ht="15" hidden="false" customHeight="false" outlineLevel="0" collapsed="false">
      <c r="A6" s="14" t="s">
        <v>42</v>
      </c>
      <c r="B6" s="15" t="n">
        <f aca="false">SUM('Thu Chi'!$D$5:$D$504)</f>
        <v>349200</v>
      </c>
      <c r="C6" s="2"/>
      <c r="D6" s="17" t="str">
        <f aca="false">'Danh mục'!B5</f>
        <v>Nhận tiền</v>
      </c>
      <c r="E6" s="18" t="n">
        <f aca="false">SUMIFS('Thu Chi'!$D$5:$D$504,'Thu Chi'!$C$5:$C$504,D6)</f>
        <v>349200</v>
      </c>
      <c r="F6" s="18" t="n">
        <f aca="false">SUMIFS('Thu Chi'!$E$5:$E$504,'Thu Chi'!$C$5:$C$504,D6)</f>
        <v>0</v>
      </c>
      <c r="G6" s="19" t="n">
        <f aca="false">IF($B$7=0,0,F6/$B$7)</f>
        <v>0</v>
      </c>
      <c r="H6" s="2"/>
    </row>
    <row r="7" customFormat="false" ht="15" hidden="false" customHeight="false" outlineLevel="0" collapsed="false">
      <c r="A7" s="14" t="s">
        <v>43</v>
      </c>
      <c r="B7" s="15" t="n">
        <f aca="false">SUM('Thu Chi'!$E$5:$E$504)</f>
        <v>113194</v>
      </c>
      <c r="C7" s="2"/>
      <c r="D7" s="17" t="str">
        <f aca="false">'Danh mục'!B6</f>
        <v>Hoa hồng</v>
      </c>
      <c r="E7" s="18" t="n">
        <f aca="false">SUMIFS('Thu Chi'!$D$5:$D$504,'Thu Chi'!$C$5:$C$504,D7)</f>
        <v>0</v>
      </c>
      <c r="F7" s="18" t="n">
        <f aca="false">SUMIFS('Thu Chi'!$E$5:$E$504,'Thu Chi'!$C$5:$C$504,D7)</f>
        <v>42572</v>
      </c>
      <c r="G7" s="19" t="n">
        <f aca="false">IF($B$7=0,0,F7/$B$7)</f>
        <v>0.376097673021538</v>
      </c>
      <c r="H7" s="2"/>
    </row>
    <row r="8" customFormat="false" ht="15" hidden="false" customHeight="false" outlineLevel="0" collapsed="false">
      <c r="A8" s="20" t="s">
        <v>44</v>
      </c>
      <c r="B8" s="21" t="n">
        <f aca="false">B5+B6-B7</f>
        <v>236006</v>
      </c>
      <c r="C8" s="2"/>
      <c r="D8" s="17" t="str">
        <f aca="false">'Danh mục'!B7</f>
        <v>Nguyên liệu</v>
      </c>
      <c r="E8" s="18" t="n">
        <f aca="false">SUMIFS('Thu Chi'!$D$5:$D$504,'Thu Chi'!$C$5:$C$504,D8)</f>
        <v>0</v>
      </c>
      <c r="F8" s="18" t="n">
        <f aca="false">SUMIFS('Thu Chi'!$E$5:$E$504,'Thu Chi'!$C$5:$C$504,D8)</f>
        <v>18250</v>
      </c>
      <c r="G8" s="19" t="n">
        <f aca="false">IF($B$7=0,0,F8/$B$7)</f>
        <v>0.16122762690602</v>
      </c>
      <c r="H8" s="2"/>
    </row>
    <row r="9" customFormat="false" ht="15" hidden="false" customHeight="false" outlineLevel="0" collapsed="false">
      <c r="A9" s="2"/>
      <c r="B9" s="2"/>
      <c r="C9" s="2"/>
      <c r="D9" s="17" t="str">
        <f aca="false">'Danh mục'!B8</f>
        <v>Mua sắm</v>
      </c>
      <c r="E9" s="18" t="n">
        <f aca="false">SUMIFS('Thu Chi'!$D$5:$D$504,'Thu Chi'!$C$5:$C$504,D9)</f>
        <v>0</v>
      </c>
      <c r="F9" s="18" t="n">
        <f aca="false">SUMIFS('Thu Chi'!$E$5:$E$504,'Thu Chi'!$C$5:$C$504,D9)</f>
        <v>25646</v>
      </c>
      <c r="G9" s="19" t="n">
        <f aca="false">IF($B$7=0,0,F9/$B$7)</f>
        <v>0.226566779157906</v>
      </c>
      <c r="H9" s="2"/>
    </row>
    <row r="10" customFormat="false" ht="15" hidden="false" customHeight="false" outlineLevel="0" collapsed="false">
      <c r="A10" s="2"/>
      <c r="B10" s="2"/>
      <c r="C10" s="2"/>
      <c r="D10" s="17" t="str">
        <f aca="false">'Danh mục'!B9</f>
        <v>Trả nền tảng</v>
      </c>
      <c r="E10" s="18" t="n">
        <f aca="false">SUMIFS('Thu Chi'!$D$5:$D$504,'Thu Chi'!$C$5:$C$504,D10)</f>
        <v>0</v>
      </c>
      <c r="F10" s="18" t="n">
        <f aca="false">SUMIFS('Thu Chi'!$E$5:$E$504,'Thu Chi'!$C$5:$C$504,D10)</f>
        <v>20000</v>
      </c>
      <c r="G10" s="19" t="n">
        <f aca="false">IF($B$7=0,0,F10/$B$7)</f>
        <v>0.176687810307967</v>
      </c>
      <c r="H10" s="2"/>
    </row>
    <row r="11" customFormat="false" ht="15" hidden="false" customHeight="false" outlineLevel="0" collapsed="false">
      <c r="A11" s="2"/>
      <c r="B11" s="2"/>
      <c r="C11" s="2"/>
      <c r="D11" s="17" t="str">
        <f aca="false">'Danh mục'!B10</f>
        <v>Ứng</v>
      </c>
      <c r="E11" s="18" t="n">
        <f aca="false">SUMIFS('Thu Chi'!$D$5:$D$504,'Thu Chi'!$C$5:$C$504,D11)</f>
        <v>0</v>
      </c>
      <c r="F11" s="18" t="n">
        <f aca="false">SUMIFS('Thu Chi'!$E$5:$E$504,'Thu Chi'!$C$5:$C$504,D11)</f>
        <v>0</v>
      </c>
      <c r="G11" s="19" t="n">
        <f aca="false">IF($B$7=0,0,F11/$B$7)</f>
        <v>0</v>
      </c>
      <c r="H11" s="2"/>
    </row>
    <row r="12" customFormat="false" ht="15" hidden="false" customHeight="false" outlineLevel="0" collapsed="false">
      <c r="A12" s="2"/>
      <c r="B12" s="2"/>
      <c r="C12" s="2"/>
      <c r="D12" s="17" t="str">
        <f aca="false">'Danh mục'!B11</f>
        <v>Khác</v>
      </c>
      <c r="E12" s="18" t="n">
        <f aca="false">SUMIFS('Thu Chi'!$D$5:$D$504,'Thu Chi'!$C$5:$C$504,D12)</f>
        <v>0</v>
      </c>
      <c r="F12" s="18" t="n">
        <f aca="false">SUMIFS('Thu Chi'!$E$5:$E$504,'Thu Chi'!$C$5:$C$504,D12)</f>
        <v>6726</v>
      </c>
      <c r="G12" s="19" t="n">
        <f aca="false">IF($B$7=0,0,F12/$B$7)</f>
        <v>0.0594201106065693</v>
      </c>
      <c r="H12" s="2"/>
    </row>
    <row r="13" customFormat="false" ht="15" hidden="false" customHeight="false" outlineLevel="0" collapsed="false">
      <c r="A13" s="2"/>
      <c r="B13" s="2"/>
      <c r="C13" s="2"/>
      <c r="D13" s="20" t="s">
        <v>45</v>
      </c>
      <c r="E13" s="22" t="n">
        <f aca="false">SUM(E6:E12)</f>
        <v>349200</v>
      </c>
      <c r="F13" s="22" t="n">
        <f aca="false">SUM(F6:F12)</f>
        <v>113194</v>
      </c>
      <c r="G13" s="23" t="n">
        <f aca="false">SUM(G6:G12)</f>
        <v>1</v>
      </c>
      <c r="H13" s="2"/>
    </row>
    <row r="14" customFormat="false" ht="15" hidden="false" customHeight="false" outlineLevel="0" collapsed="false">
      <c r="A14" s="2"/>
      <c r="B14" s="2"/>
      <c r="C14" s="2"/>
      <c r="D14" s="3" t="str">
        <f aca="false">IF(AND(E13=B6,F13=B7),"✓ Khớp tổng","⚠ Có dòng chưa chọn Loại")</f>
        <v>✓ Khớp tổng</v>
      </c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13" t="s">
        <v>46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4" t="s">
        <v>47</v>
      </c>
      <c r="B17" s="24" t="s">
        <v>48</v>
      </c>
      <c r="C17" s="24" t="s">
        <v>49</v>
      </c>
      <c r="D17" s="24" t="s">
        <v>50</v>
      </c>
      <c r="E17" s="24" t="s">
        <v>51</v>
      </c>
      <c r="F17" s="24" t="s">
        <v>52</v>
      </c>
      <c r="G17" s="24" t="s">
        <v>53</v>
      </c>
      <c r="H17" s="24" t="s">
        <v>54</v>
      </c>
    </row>
    <row r="18" customFormat="false" ht="15" hidden="false" customHeight="false" outlineLevel="0" collapsed="false">
      <c r="A18" s="17" t="str">
        <f aca="false">'Danh mục'!A5</f>
        <v>WINDI</v>
      </c>
      <c r="B18" s="18" t="n">
        <f aca="false">SUMIFS('Giao dịch TK'!$D$5:$D$504,'Giao dịch TK'!$B$5:$B$504,$A18)</f>
        <v>21700</v>
      </c>
      <c r="C18" s="18" t="n">
        <f aca="false">SUMIFS('Giao dịch TK'!$E$5:$E$504,'Giao dịch TK'!$B$5:$B$504,$A18)</f>
        <v>52000</v>
      </c>
      <c r="D18" s="18" t="n">
        <f aca="false">SUMIFS('Giao dịch TK'!$F$5:$F$504,'Giao dịch TK'!$B$5:$B$504,$A18)</f>
        <v>2269</v>
      </c>
      <c r="E18" s="18" t="n">
        <f aca="false">B18-D18</f>
        <v>19431</v>
      </c>
      <c r="F18" s="18" t="n">
        <f aca="false">B18+C18</f>
        <v>73700</v>
      </c>
      <c r="G18" s="18" t="n">
        <f aca="false">COUNTIFS('Giao dịch TK'!$B$5:$B$504,$A18)</f>
        <v>19</v>
      </c>
      <c r="H18" s="18" t="n">
        <f aca="false">SUMIFS('Thu Chi'!$E$5:$E$504,'Thu Chi'!$C$5:$C$504,"Hoa hồng",'Thu Chi'!$B$5:$B$504,"WINDY")</f>
        <v>23772</v>
      </c>
    </row>
    <row r="19" customFormat="false" ht="15" hidden="false" customHeight="false" outlineLevel="0" collapsed="false">
      <c r="A19" s="17" t="str">
        <f aca="false">'Danh mục'!A6</f>
        <v>CAO TIẾN</v>
      </c>
      <c r="B19" s="18" t="n">
        <f aca="false">SUMIFS('Giao dịch TK'!$D$5:$D$504,'Giao dịch TK'!$B$5:$B$504,$A19)</f>
        <v>34230</v>
      </c>
      <c r="C19" s="18" t="n">
        <f aca="false">SUMIFS('Giao dịch TK'!$E$5:$E$504,'Giao dịch TK'!$B$5:$B$504,$A19)</f>
        <v>23190</v>
      </c>
      <c r="D19" s="18" t="n">
        <f aca="false">SUMIFS('Giao dịch TK'!$F$5:$F$504,'Giao dịch TK'!$B$5:$B$504,$A19)</f>
        <v>1320</v>
      </c>
      <c r="E19" s="18" t="n">
        <f aca="false">B19-D19</f>
        <v>32910</v>
      </c>
      <c r="F19" s="18" t="n">
        <f aca="false">B19+C19</f>
        <v>57420</v>
      </c>
      <c r="G19" s="18" t="n">
        <f aca="false">COUNTIFS('Giao dịch TK'!$B$5:$B$504,$A19)</f>
        <v>26</v>
      </c>
      <c r="H19" s="25" t="n">
        <v>0</v>
      </c>
    </row>
    <row r="20" customFormat="false" ht="15" hidden="false" customHeight="false" outlineLevel="0" collapsed="false">
      <c r="A20" s="17" t="str">
        <f aca="false">'Danh mục'!A7</f>
        <v>SU</v>
      </c>
      <c r="B20" s="18" t="n">
        <f aca="false">SUMIFS('Giao dịch TK'!$D$5:$D$504,'Giao dịch TK'!$B$5:$B$504,$A20)</f>
        <v>8210</v>
      </c>
      <c r="C20" s="18" t="n">
        <f aca="false">SUMIFS('Giao dịch TK'!$E$5:$E$504,'Giao dịch TK'!$B$5:$B$504,$A20)</f>
        <v>9200</v>
      </c>
      <c r="D20" s="18" t="n">
        <f aca="false">SUMIFS('Giao dịch TK'!$F$5:$F$504,'Giao dịch TK'!$B$5:$B$504,$A20)</f>
        <v>751</v>
      </c>
      <c r="E20" s="18" t="n">
        <f aca="false">B20-D20</f>
        <v>7459</v>
      </c>
      <c r="F20" s="18" t="n">
        <f aca="false">B20+C20</f>
        <v>17410</v>
      </c>
      <c r="G20" s="18" t="n">
        <f aca="false">COUNTIFS('Giao dịch TK'!$B$5:$B$504,$A20)</f>
        <v>6</v>
      </c>
      <c r="H20" s="25" t="n">
        <v>0</v>
      </c>
    </row>
    <row r="21" customFormat="false" ht="15" hidden="false" customHeight="false" outlineLevel="0" collapsed="false">
      <c r="A21" s="17" t="str">
        <f aca="false">'Danh mục'!A8</f>
        <v>CHƯA RÕ (bảng cột Y)</v>
      </c>
      <c r="B21" s="18" t="n">
        <f aca="false">SUMIFS('Giao dịch TK'!$D$5:$D$504,'Giao dịch TK'!$B$5:$B$504,$A21)</f>
        <v>750</v>
      </c>
      <c r="C21" s="18" t="n">
        <f aca="false">SUMIFS('Giao dịch TK'!$E$5:$E$504,'Giao dịch TK'!$B$5:$B$504,$A21)</f>
        <v>0</v>
      </c>
      <c r="D21" s="18" t="n">
        <f aca="false">SUMIFS('Giao dịch TK'!$F$5:$F$504,'Giao dịch TK'!$B$5:$B$504,$A21)</f>
        <v>500</v>
      </c>
      <c r="E21" s="18" t="n">
        <f aca="false">B21-D21</f>
        <v>250</v>
      </c>
      <c r="F21" s="18" t="n">
        <f aca="false">B21+C21</f>
        <v>750</v>
      </c>
      <c r="G21" s="18" t="n">
        <f aca="false">COUNTIFS('Giao dịch TK'!$B$5:$B$504,$A21)</f>
        <v>3</v>
      </c>
      <c r="H21" s="25" t="n">
        <v>0</v>
      </c>
    </row>
    <row r="22" customFormat="false" ht="15" hidden="false" customHeight="false" outlineLevel="0" collapsed="false">
      <c r="A22" s="17" t="str">
        <f aca="false">'Danh mục'!A9</f>
        <v>ĐẠI LÝ NGỌC LINH 65</v>
      </c>
      <c r="B22" s="18" t="n">
        <f aca="false">SUMIFS('Giao dịch TK'!$D$5:$D$504,'Giao dịch TK'!$B$5:$B$504,$A22)</f>
        <v>4000</v>
      </c>
      <c r="C22" s="18" t="n">
        <f aca="false">SUMIFS('Giao dịch TK'!$E$5:$E$504,'Giao dịch TK'!$B$5:$B$504,$A22)</f>
        <v>0</v>
      </c>
      <c r="D22" s="18" t="n">
        <f aca="false">SUMIFS('Giao dịch TK'!$F$5:$F$504,'Giao dịch TK'!$B$5:$B$504,$A22)</f>
        <v>0</v>
      </c>
      <c r="E22" s="18" t="n">
        <f aca="false">B22-D22</f>
        <v>4000</v>
      </c>
      <c r="F22" s="18" t="n">
        <f aca="false">B22+C22</f>
        <v>4000</v>
      </c>
      <c r="G22" s="18" t="n">
        <f aca="false">COUNTIFS('Giao dịch TK'!$B$5:$B$504,$A22)</f>
        <v>2</v>
      </c>
      <c r="H22" s="18" t="n">
        <f aca="false">SUMIFS('Thu Chi'!$E$5:$E$504,'Thu Chi'!$C$5:$C$504,"Hoa hồng",'Thu Chi'!$B$5:$B$504,"ĐẠI LÝ NGỌC LINH")</f>
        <v>5200</v>
      </c>
    </row>
    <row r="23" customFormat="false" ht="15" hidden="false" customHeight="false" outlineLevel="0" collapsed="false">
      <c r="A23" s="17" t="str">
        <f aca="false">'Danh mục'!A10</f>
        <v>RICON</v>
      </c>
      <c r="B23" s="18" t="n">
        <f aca="false">SUMIFS('Giao dịch TK'!$D$5:$D$504,'Giao dịch TK'!$B$5:$B$504,$A23)</f>
        <v>3500</v>
      </c>
      <c r="C23" s="18" t="n">
        <f aca="false">SUMIFS('Giao dịch TK'!$E$5:$E$504,'Giao dịch TK'!$B$5:$B$504,$A23)</f>
        <v>0</v>
      </c>
      <c r="D23" s="18" t="n">
        <f aca="false">SUMIFS('Giao dịch TK'!$F$5:$F$504,'Giao dịch TK'!$B$5:$B$504,$A23)</f>
        <v>0</v>
      </c>
      <c r="E23" s="18" t="n">
        <f aca="false">B23-D23</f>
        <v>3500</v>
      </c>
      <c r="F23" s="18" t="n">
        <f aca="false">B23+C23</f>
        <v>3500</v>
      </c>
      <c r="G23" s="18" t="n">
        <f aca="false">COUNTIFS('Giao dịch TK'!$B$5:$B$504,$A23)</f>
        <v>2</v>
      </c>
      <c r="H23" s="25" t="n">
        <v>0</v>
      </c>
    </row>
    <row r="24" customFormat="false" ht="15" hidden="false" customHeight="false" outlineLevel="0" collapsed="false">
      <c r="A24" s="20" t="s">
        <v>45</v>
      </c>
      <c r="B24" s="22" t="n">
        <f aca="false">SUM(B18:B23)</f>
        <v>72390</v>
      </c>
      <c r="C24" s="22" t="n">
        <f aca="false">SUM(C18:C23)</f>
        <v>84390</v>
      </c>
      <c r="D24" s="22" t="n">
        <f aca="false">SUM(D18:D23)</f>
        <v>4840</v>
      </c>
      <c r="E24" s="22" t="n">
        <f aca="false">SUM(E18:E23)</f>
        <v>67550</v>
      </c>
      <c r="F24" s="22" t="n">
        <f aca="false">SUM(F18:F23)</f>
        <v>156780</v>
      </c>
      <c r="G24" s="22" t="n">
        <f aca="false">SUM(G18:G23)</f>
        <v>58</v>
      </c>
      <c r="H24" s="22" t="n">
        <f aca="false">SUM(H18:H23)</f>
        <v>28972</v>
      </c>
    </row>
    <row r="25" customFormat="false" ht="15" hidden="false" customHeight="false" outlineLevel="0" collapsed="false">
      <c r="A25" s="3" t="s">
        <v>55</v>
      </c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13" t="s">
        <v>56</v>
      </c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4" t="s">
        <v>57</v>
      </c>
      <c r="B28" s="24" t="s">
        <v>39</v>
      </c>
      <c r="C28" s="24" t="s">
        <v>40</v>
      </c>
      <c r="D28" s="24" t="s">
        <v>58</v>
      </c>
      <c r="E28" s="24" t="s">
        <v>59</v>
      </c>
      <c r="F28" s="24" t="s">
        <v>60</v>
      </c>
      <c r="G28" s="24" t="s">
        <v>61</v>
      </c>
      <c r="H28" s="24" t="s">
        <v>62</v>
      </c>
    </row>
    <row r="29" customFormat="false" ht="15" hidden="false" customHeight="false" outlineLevel="0" collapsed="false">
      <c r="A29" s="26" t="n">
        <f aca="false">DATE(2026,10,1)</f>
        <v>46296</v>
      </c>
      <c r="B29" s="18" t="n">
        <f aca="false">SUMIFS('Thu Chi'!$D$5:$D$504,'Thu Chi'!$A$5:$A$504,$A29)</f>
        <v>0</v>
      </c>
      <c r="C29" s="18" t="n">
        <f aca="false">SUMIFS('Thu Chi'!$E$5:$E$504,'Thu Chi'!$A$5:$A$504,$A29)</f>
        <v>14950</v>
      </c>
      <c r="D29" s="18" t="n">
        <f aca="false">B29-C29</f>
        <v>-14950</v>
      </c>
      <c r="E29" s="18" t="n">
        <f aca="false">$B$5+SUM($D$29:D29)</f>
        <v>-14950</v>
      </c>
      <c r="F29" s="18" t="n">
        <f aca="false">SUMIFS('Giao dịch TK'!$D$5:$D$504,'Giao dịch TK'!$A$5:$A$504,$A29)</f>
        <v>23760</v>
      </c>
      <c r="G29" s="18" t="n">
        <f aca="false">SUMIFS('Giao dịch TK'!$E$5:$E$504,'Giao dịch TK'!$A$5:$A$504,$A29)</f>
        <v>20000</v>
      </c>
      <c r="H29" s="18" t="n">
        <f aca="false">SUMIFS('Giao dịch TK'!$F$5:$F$504,'Giao dịch TK'!$A$5:$A$504,$A29)</f>
        <v>1359</v>
      </c>
    </row>
    <row r="30" customFormat="false" ht="15" hidden="false" customHeight="false" outlineLevel="0" collapsed="false">
      <c r="A30" s="26" t="n">
        <f aca="false">A29+1</f>
        <v>46297</v>
      </c>
      <c r="B30" s="18" t="n">
        <f aca="false">SUMIFS('Thu Chi'!$D$5:$D$504,'Thu Chi'!$A$5:$A$504,$A30)</f>
        <v>9200</v>
      </c>
      <c r="C30" s="18" t="n">
        <f aca="false">SUMIFS('Thu Chi'!$E$5:$E$504,'Thu Chi'!$A$5:$A$504,$A30)</f>
        <v>24917</v>
      </c>
      <c r="D30" s="18" t="n">
        <f aca="false">B30-C30</f>
        <v>-15717</v>
      </c>
      <c r="E30" s="18" t="n">
        <f aca="false">$B$5+SUM($D$29:D30)</f>
        <v>-30667</v>
      </c>
      <c r="F30" s="18" t="n">
        <f aca="false">SUMIFS('Giao dịch TK'!$D$5:$D$504,'Giao dịch TK'!$A$5:$A$504,$A30)</f>
        <v>4050</v>
      </c>
      <c r="G30" s="18" t="n">
        <f aca="false">SUMIFS('Giao dịch TK'!$E$5:$E$504,'Giao dịch TK'!$A$5:$A$504,$A30)</f>
        <v>16000</v>
      </c>
      <c r="H30" s="18" t="n">
        <f aca="false">SUMIFS('Giao dịch TK'!$F$5:$F$504,'Giao dịch TK'!$A$5:$A$504,$A30)</f>
        <v>1161</v>
      </c>
    </row>
    <row r="31" customFormat="false" ht="15" hidden="false" customHeight="false" outlineLevel="0" collapsed="false">
      <c r="A31" s="26" t="n">
        <f aca="false">A30+1</f>
        <v>46298</v>
      </c>
      <c r="B31" s="18" t="n">
        <f aca="false">SUMIFS('Thu Chi'!$D$5:$D$504,'Thu Chi'!$A$5:$A$504,$A31)</f>
        <v>40000</v>
      </c>
      <c r="C31" s="18" t="n">
        <f aca="false">SUMIFS('Thu Chi'!$E$5:$E$504,'Thu Chi'!$A$5:$A$504,$A31)</f>
        <v>42001</v>
      </c>
      <c r="D31" s="18" t="n">
        <f aca="false">B31-C31</f>
        <v>-2001</v>
      </c>
      <c r="E31" s="18" t="n">
        <f aca="false">$B$5+SUM($D$29:D31)</f>
        <v>-32668</v>
      </c>
      <c r="F31" s="18" t="n">
        <f aca="false">SUMIFS('Giao dịch TK'!$D$5:$D$504,'Giao dịch TK'!$A$5:$A$504,$A31)</f>
        <v>28980</v>
      </c>
      <c r="G31" s="18" t="n">
        <f aca="false">SUMIFS('Giao dịch TK'!$E$5:$E$504,'Giao dịch TK'!$A$5:$A$504,$A31)</f>
        <v>10600</v>
      </c>
      <c r="H31" s="18" t="n">
        <f aca="false">SUMIFS('Giao dịch TK'!$F$5:$F$504,'Giao dịch TK'!$A$5:$A$504,$A31)</f>
        <v>1620</v>
      </c>
    </row>
    <row r="32" customFormat="false" ht="15" hidden="false" customHeight="false" outlineLevel="0" collapsed="false">
      <c r="A32" s="26" t="n">
        <f aca="false">A31+1</f>
        <v>46299</v>
      </c>
      <c r="B32" s="18" t="n">
        <f aca="false">SUMIFS('Thu Chi'!$D$5:$D$504,'Thu Chi'!$A$5:$A$504,$A32)</f>
        <v>300000</v>
      </c>
      <c r="C32" s="18" t="n">
        <f aca="false">SUMIFS('Thu Chi'!$E$5:$E$504,'Thu Chi'!$A$5:$A$504,$A32)</f>
        <v>8826</v>
      </c>
      <c r="D32" s="18" t="n">
        <f aca="false">B32-C32</f>
        <v>291174</v>
      </c>
      <c r="E32" s="18" t="n">
        <f aca="false">$B$5+SUM($D$29:D32)</f>
        <v>258506</v>
      </c>
      <c r="F32" s="18" t="n">
        <f aca="false">SUMIFS('Giao dịch TK'!$D$5:$D$504,'Giao dịch TK'!$A$5:$A$504,$A32)</f>
        <v>7500</v>
      </c>
      <c r="G32" s="18" t="n">
        <f aca="false">SUMIFS('Giao dịch TK'!$E$5:$E$504,'Giao dịch TK'!$A$5:$A$504,$A32)</f>
        <v>29190</v>
      </c>
      <c r="H32" s="18" t="n">
        <f aca="false">SUMIFS('Giao dịch TK'!$F$5:$F$504,'Giao dịch TK'!$A$5:$A$504,$A32)</f>
        <v>0</v>
      </c>
    </row>
    <row r="33" customFormat="false" ht="15" hidden="false" customHeight="false" outlineLevel="0" collapsed="false">
      <c r="A33" s="26" t="n">
        <f aca="false">A32+1</f>
        <v>46300</v>
      </c>
      <c r="B33" s="18" t="n">
        <f aca="false">SUMIFS('Thu Chi'!$D$5:$D$504,'Thu Chi'!$A$5:$A$504,$A33)</f>
        <v>0</v>
      </c>
      <c r="C33" s="18" t="n">
        <f aca="false">SUMIFS('Thu Chi'!$E$5:$E$504,'Thu Chi'!$A$5:$A$504,$A33)</f>
        <v>22500</v>
      </c>
      <c r="D33" s="18" t="n">
        <f aca="false">B33-C33</f>
        <v>-22500</v>
      </c>
      <c r="E33" s="18" t="n">
        <f aca="false">$B$5+SUM($D$29:D33)</f>
        <v>236006</v>
      </c>
      <c r="F33" s="18" t="n">
        <f aca="false">SUMIFS('Giao dịch TK'!$D$5:$D$504,'Giao dịch TK'!$A$5:$A$504,$A33)</f>
        <v>4100</v>
      </c>
      <c r="G33" s="18" t="n">
        <f aca="false">SUMIFS('Giao dịch TK'!$E$5:$E$504,'Giao dịch TK'!$A$5:$A$504,$A33)</f>
        <v>8600</v>
      </c>
      <c r="H33" s="18" t="n">
        <f aca="false">SUMIFS('Giao dịch TK'!$F$5:$F$504,'Giao dịch TK'!$A$5:$A$504,$A33)</f>
        <v>700</v>
      </c>
    </row>
    <row r="34" customFormat="false" ht="15" hidden="false" customHeight="false" outlineLevel="0" collapsed="false">
      <c r="A34" s="26" t="n">
        <f aca="false">A33+1</f>
        <v>46301</v>
      </c>
      <c r="B34" s="18" t="n">
        <f aca="false">SUMIFS('Thu Chi'!$D$5:$D$504,'Thu Chi'!$A$5:$A$504,$A34)</f>
        <v>0</v>
      </c>
      <c r="C34" s="18" t="n">
        <f aca="false">SUMIFS('Thu Chi'!$E$5:$E$504,'Thu Chi'!$A$5:$A$504,$A34)</f>
        <v>0</v>
      </c>
      <c r="D34" s="18" t="n">
        <f aca="false">B34-C34</f>
        <v>0</v>
      </c>
      <c r="E34" s="18" t="n">
        <f aca="false">$B$5+SUM($D$29:D34)</f>
        <v>236006</v>
      </c>
      <c r="F34" s="18" t="n">
        <f aca="false">SUMIFS('Giao dịch TK'!$D$5:$D$504,'Giao dịch TK'!$A$5:$A$504,$A34)</f>
        <v>0</v>
      </c>
      <c r="G34" s="18" t="n">
        <f aca="false">SUMIFS('Giao dịch TK'!$E$5:$E$504,'Giao dịch TK'!$A$5:$A$504,$A34)</f>
        <v>0</v>
      </c>
      <c r="H34" s="18" t="n">
        <f aca="false">SUMIFS('Giao dịch TK'!$F$5:$F$504,'Giao dịch TK'!$A$5:$A$504,$A34)</f>
        <v>0</v>
      </c>
    </row>
    <row r="35" customFormat="false" ht="15" hidden="false" customHeight="false" outlineLevel="0" collapsed="false">
      <c r="A35" s="26" t="n">
        <f aca="false">A34+1</f>
        <v>46302</v>
      </c>
      <c r="B35" s="18" t="n">
        <f aca="false">SUMIFS('Thu Chi'!$D$5:$D$504,'Thu Chi'!$A$5:$A$504,$A35)</f>
        <v>0</v>
      </c>
      <c r="C35" s="18" t="n">
        <f aca="false">SUMIFS('Thu Chi'!$E$5:$E$504,'Thu Chi'!$A$5:$A$504,$A35)</f>
        <v>0</v>
      </c>
      <c r="D35" s="18" t="n">
        <f aca="false">B35-C35</f>
        <v>0</v>
      </c>
      <c r="E35" s="18" t="n">
        <f aca="false">$B$5+SUM($D$29:D35)</f>
        <v>236006</v>
      </c>
      <c r="F35" s="18" t="n">
        <f aca="false">SUMIFS('Giao dịch TK'!$D$5:$D$504,'Giao dịch TK'!$A$5:$A$504,$A35)</f>
        <v>0</v>
      </c>
      <c r="G35" s="18" t="n">
        <f aca="false">SUMIFS('Giao dịch TK'!$E$5:$E$504,'Giao dịch TK'!$A$5:$A$504,$A35)</f>
        <v>0</v>
      </c>
      <c r="H35" s="18" t="n">
        <f aca="false">SUMIFS('Giao dịch TK'!$F$5:$F$504,'Giao dịch TK'!$A$5:$A$504,$A35)</f>
        <v>0</v>
      </c>
    </row>
    <row r="36" customFormat="false" ht="15" hidden="false" customHeight="false" outlineLevel="0" collapsed="false">
      <c r="A36" s="26" t="n">
        <f aca="false">A35+1</f>
        <v>46303</v>
      </c>
      <c r="B36" s="18" t="n">
        <f aca="false">SUMIFS('Thu Chi'!$D$5:$D$504,'Thu Chi'!$A$5:$A$504,$A36)</f>
        <v>0</v>
      </c>
      <c r="C36" s="18" t="n">
        <f aca="false">SUMIFS('Thu Chi'!$E$5:$E$504,'Thu Chi'!$A$5:$A$504,$A36)</f>
        <v>0</v>
      </c>
      <c r="D36" s="18" t="n">
        <f aca="false">B36-C36</f>
        <v>0</v>
      </c>
      <c r="E36" s="18" t="n">
        <f aca="false">$B$5+SUM($D$29:D36)</f>
        <v>236006</v>
      </c>
      <c r="F36" s="18" t="n">
        <f aca="false">SUMIFS('Giao dịch TK'!$D$5:$D$504,'Giao dịch TK'!$A$5:$A$504,$A36)</f>
        <v>0</v>
      </c>
      <c r="G36" s="18" t="n">
        <f aca="false">SUMIFS('Giao dịch TK'!$E$5:$E$504,'Giao dịch TK'!$A$5:$A$504,$A36)</f>
        <v>0</v>
      </c>
      <c r="H36" s="18" t="n">
        <f aca="false">SUMIFS('Giao dịch TK'!$F$5:$F$504,'Giao dịch TK'!$A$5:$A$504,$A36)</f>
        <v>0</v>
      </c>
    </row>
    <row r="37" customFormat="false" ht="15" hidden="false" customHeight="false" outlineLevel="0" collapsed="false">
      <c r="A37" s="26" t="n">
        <f aca="false">A36+1</f>
        <v>46304</v>
      </c>
      <c r="B37" s="18" t="n">
        <f aca="false">SUMIFS('Thu Chi'!$D$5:$D$504,'Thu Chi'!$A$5:$A$504,$A37)</f>
        <v>0</v>
      </c>
      <c r="C37" s="18" t="n">
        <f aca="false">SUMIFS('Thu Chi'!$E$5:$E$504,'Thu Chi'!$A$5:$A$504,$A37)</f>
        <v>0</v>
      </c>
      <c r="D37" s="18" t="n">
        <f aca="false">B37-C37</f>
        <v>0</v>
      </c>
      <c r="E37" s="18" t="n">
        <f aca="false">$B$5+SUM($D$29:D37)</f>
        <v>236006</v>
      </c>
      <c r="F37" s="18" t="n">
        <f aca="false">SUMIFS('Giao dịch TK'!$D$5:$D$504,'Giao dịch TK'!$A$5:$A$504,$A37)</f>
        <v>0</v>
      </c>
      <c r="G37" s="18" t="n">
        <f aca="false">SUMIFS('Giao dịch TK'!$E$5:$E$504,'Giao dịch TK'!$A$5:$A$504,$A37)</f>
        <v>0</v>
      </c>
      <c r="H37" s="18" t="n">
        <f aca="false">SUMIFS('Giao dịch TK'!$F$5:$F$504,'Giao dịch TK'!$A$5:$A$504,$A37)</f>
        <v>0</v>
      </c>
    </row>
    <row r="38" customFormat="false" ht="15" hidden="false" customHeight="false" outlineLevel="0" collapsed="false">
      <c r="A38" s="26" t="n">
        <f aca="false">A37+1</f>
        <v>46305</v>
      </c>
      <c r="B38" s="18" t="n">
        <f aca="false">SUMIFS('Thu Chi'!$D$5:$D$504,'Thu Chi'!$A$5:$A$504,$A38)</f>
        <v>0</v>
      </c>
      <c r="C38" s="18" t="n">
        <f aca="false">SUMIFS('Thu Chi'!$E$5:$E$504,'Thu Chi'!$A$5:$A$504,$A38)</f>
        <v>0</v>
      </c>
      <c r="D38" s="18" t="n">
        <f aca="false">B38-C38</f>
        <v>0</v>
      </c>
      <c r="E38" s="18" t="n">
        <f aca="false">$B$5+SUM($D$29:D38)</f>
        <v>236006</v>
      </c>
      <c r="F38" s="18" t="n">
        <f aca="false">SUMIFS('Giao dịch TK'!$D$5:$D$504,'Giao dịch TK'!$A$5:$A$504,$A38)</f>
        <v>0</v>
      </c>
      <c r="G38" s="18" t="n">
        <f aca="false">SUMIFS('Giao dịch TK'!$E$5:$E$504,'Giao dịch TK'!$A$5:$A$504,$A38)</f>
        <v>0</v>
      </c>
      <c r="H38" s="18" t="n">
        <f aca="false">SUMIFS('Giao dịch TK'!$F$5:$F$504,'Giao dịch TK'!$A$5:$A$504,$A38)</f>
        <v>0</v>
      </c>
    </row>
    <row r="39" customFormat="false" ht="15" hidden="false" customHeight="false" outlineLevel="0" collapsed="false">
      <c r="A39" s="26" t="n">
        <f aca="false">A38+1</f>
        <v>46306</v>
      </c>
      <c r="B39" s="18" t="n">
        <f aca="false">SUMIFS('Thu Chi'!$D$5:$D$504,'Thu Chi'!$A$5:$A$504,$A39)</f>
        <v>0</v>
      </c>
      <c r="C39" s="18" t="n">
        <f aca="false">SUMIFS('Thu Chi'!$E$5:$E$504,'Thu Chi'!$A$5:$A$504,$A39)</f>
        <v>0</v>
      </c>
      <c r="D39" s="18" t="n">
        <f aca="false">B39-C39</f>
        <v>0</v>
      </c>
      <c r="E39" s="18" t="n">
        <f aca="false">$B$5+SUM($D$29:D39)</f>
        <v>236006</v>
      </c>
      <c r="F39" s="18" t="n">
        <f aca="false">SUMIFS('Giao dịch TK'!$D$5:$D$504,'Giao dịch TK'!$A$5:$A$504,$A39)</f>
        <v>0</v>
      </c>
      <c r="G39" s="18" t="n">
        <f aca="false">SUMIFS('Giao dịch TK'!$E$5:$E$504,'Giao dịch TK'!$A$5:$A$504,$A39)</f>
        <v>0</v>
      </c>
      <c r="H39" s="18" t="n">
        <f aca="false">SUMIFS('Giao dịch TK'!$F$5:$F$504,'Giao dịch TK'!$A$5:$A$504,$A39)</f>
        <v>0</v>
      </c>
    </row>
    <row r="40" customFormat="false" ht="15" hidden="false" customHeight="false" outlineLevel="0" collapsed="false">
      <c r="A40" s="26" t="n">
        <f aca="false">A39+1</f>
        <v>46307</v>
      </c>
      <c r="B40" s="18" t="n">
        <f aca="false">SUMIFS('Thu Chi'!$D$5:$D$504,'Thu Chi'!$A$5:$A$504,$A40)</f>
        <v>0</v>
      </c>
      <c r="C40" s="18" t="n">
        <f aca="false">SUMIFS('Thu Chi'!$E$5:$E$504,'Thu Chi'!$A$5:$A$504,$A40)</f>
        <v>0</v>
      </c>
      <c r="D40" s="18" t="n">
        <f aca="false">B40-C40</f>
        <v>0</v>
      </c>
      <c r="E40" s="18" t="n">
        <f aca="false">$B$5+SUM($D$29:D40)</f>
        <v>236006</v>
      </c>
      <c r="F40" s="18" t="n">
        <f aca="false">SUMIFS('Giao dịch TK'!$D$5:$D$504,'Giao dịch TK'!$A$5:$A$504,$A40)</f>
        <v>0</v>
      </c>
      <c r="G40" s="18" t="n">
        <f aca="false">SUMIFS('Giao dịch TK'!$E$5:$E$504,'Giao dịch TK'!$A$5:$A$504,$A40)</f>
        <v>0</v>
      </c>
      <c r="H40" s="18" t="n">
        <f aca="false">SUMIFS('Giao dịch TK'!$F$5:$F$504,'Giao dịch TK'!$A$5:$A$504,$A40)</f>
        <v>0</v>
      </c>
    </row>
    <row r="41" customFormat="false" ht="15" hidden="false" customHeight="false" outlineLevel="0" collapsed="false">
      <c r="A41" s="26" t="n">
        <f aca="false">A40+1</f>
        <v>46308</v>
      </c>
      <c r="B41" s="18" t="n">
        <f aca="false">SUMIFS('Thu Chi'!$D$5:$D$504,'Thu Chi'!$A$5:$A$504,$A41)</f>
        <v>0</v>
      </c>
      <c r="C41" s="18" t="n">
        <f aca="false">SUMIFS('Thu Chi'!$E$5:$E$504,'Thu Chi'!$A$5:$A$504,$A41)</f>
        <v>0</v>
      </c>
      <c r="D41" s="18" t="n">
        <f aca="false">B41-C41</f>
        <v>0</v>
      </c>
      <c r="E41" s="18" t="n">
        <f aca="false">$B$5+SUM($D$29:D41)</f>
        <v>236006</v>
      </c>
      <c r="F41" s="18" t="n">
        <f aca="false">SUMIFS('Giao dịch TK'!$D$5:$D$504,'Giao dịch TK'!$A$5:$A$504,$A41)</f>
        <v>0</v>
      </c>
      <c r="G41" s="18" t="n">
        <f aca="false">SUMIFS('Giao dịch TK'!$E$5:$E$504,'Giao dịch TK'!$A$5:$A$504,$A41)</f>
        <v>0</v>
      </c>
      <c r="H41" s="18" t="n">
        <f aca="false">SUMIFS('Giao dịch TK'!$F$5:$F$504,'Giao dịch TK'!$A$5:$A$504,$A41)</f>
        <v>0</v>
      </c>
    </row>
    <row r="42" customFormat="false" ht="15" hidden="false" customHeight="false" outlineLevel="0" collapsed="false">
      <c r="A42" s="26" t="n">
        <f aca="false">A41+1</f>
        <v>46309</v>
      </c>
      <c r="B42" s="18" t="n">
        <f aca="false">SUMIFS('Thu Chi'!$D$5:$D$504,'Thu Chi'!$A$5:$A$504,$A42)</f>
        <v>0</v>
      </c>
      <c r="C42" s="18" t="n">
        <f aca="false">SUMIFS('Thu Chi'!$E$5:$E$504,'Thu Chi'!$A$5:$A$504,$A42)</f>
        <v>0</v>
      </c>
      <c r="D42" s="18" t="n">
        <f aca="false">B42-C42</f>
        <v>0</v>
      </c>
      <c r="E42" s="18" t="n">
        <f aca="false">$B$5+SUM($D$29:D42)</f>
        <v>236006</v>
      </c>
      <c r="F42" s="18" t="n">
        <f aca="false">SUMIFS('Giao dịch TK'!$D$5:$D$504,'Giao dịch TK'!$A$5:$A$504,$A42)</f>
        <v>0</v>
      </c>
      <c r="G42" s="18" t="n">
        <f aca="false">SUMIFS('Giao dịch TK'!$E$5:$E$504,'Giao dịch TK'!$A$5:$A$504,$A42)</f>
        <v>0</v>
      </c>
      <c r="H42" s="18" t="n">
        <f aca="false">SUMIFS('Giao dịch TK'!$F$5:$F$504,'Giao dịch TK'!$A$5:$A$504,$A42)</f>
        <v>0</v>
      </c>
    </row>
    <row r="43" customFormat="false" ht="15" hidden="false" customHeight="false" outlineLevel="0" collapsed="false">
      <c r="A43" s="26" t="n">
        <f aca="false">A42+1</f>
        <v>46310</v>
      </c>
      <c r="B43" s="18" t="n">
        <f aca="false">SUMIFS('Thu Chi'!$D$5:$D$504,'Thu Chi'!$A$5:$A$504,$A43)</f>
        <v>0</v>
      </c>
      <c r="C43" s="18" t="n">
        <f aca="false">SUMIFS('Thu Chi'!$E$5:$E$504,'Thu Chi'!$A$5:$A$504,$A43)</f>
        <v>0</v>
      </c>
      <c r="D43" s="18" t="n">
        <f aca="false">B43-C43</f>
        <v>0</v>
      </c>
      <c r="E43" s="18" t="n">
        <f aca="false">$B$5+SUM($D$29:D43)</f>
        <v>236006</v>
      </c>
      <c r="F43" s="18" t="n">
        <f aca="false">SUMIFS('Giao dịch TK'!$D$5:$D$504,'Giao dịch TK'!$A$5:$A$504,$A43)</f>
        <v>0</v>
      </c>
      <c r="G43" s="18" t="n">
        <f aca="false">SUMIFS('Giao dịch TK'!$E$5:$E$504,'Giao dịch TK'!$A$5:$A$504,$A43)</f>
        <v>0</v>
      </c>
      <c r="H43" s="18" t="n">
        <f aca="false">SUMIFS('Giao dịch TK'!$F$5:$F$504,'Giao dịch TK'!$A$5:$A$504,$A43)</f>
        <v>0</v>
      </c>
    </row>
    <row r="44" customFormat="false" ht="15" hidden="false" customHeight="false" outlineLevel="0" collapsed="false">
      <c r="A44" s="26" t="n">
        <f aca="false">A43+1</f>
        <v>46311</v>
      </c>
      <c r="B44" s="18" t="n">
        <f aca="false">SUMIFS('Thu Chi'!$D$5:$D$504,'Thu Chi'!$A$5:$A$504,$A44)</f>
        <v>0</v>
      </c>
      <c r="C44" s="18" t="n">
        <f aca="false">SUMIFS('Thu Chi'!$E$5:$E$504,'Thu Chi'!$A$5:$A$504,$A44)</f>
        <v>0</v>
      </c>
      <c r="D44" s="18" t="n">
        <f aca="false">B44-C44</f>
        <v>0</v>
      </c>
      <c r="E44" s="18" t="n">
        <f aca="false">$B$5+SUM($D$29:D44)</f>
        <v>236006</v>
      </c>
      <c r="F44" s="18" t="n">
        <f aca="false">SUMIFS('Giao dịch TK'!$D$5:$D$504,'Giao dịch TK'!$A$5:$A$504,$A44)</f>
        <v>0</v>
      </c>
      <c r="G44" s="18" t="n">
        <f aca="false">SUMIFS('Giao dịch TK'!$E$5:$E$504,'Giao dịch TK'!$A$5:$A$504,$A44)</f>
        <v>0</v>
      </c>
      <c r="H44" s="18" t="n">
        <f aca="false">SUMIFS('Giao dịch TK'!$F$5:$F$504,'Giao dịch TK'!$A$5:$A$504,$A44)</f>
        <v>0</v>
      </c>
    </row>
    <row r="45" customFormat="false" ht="15" hidden="false" customHeight="false" outlineLevel="0" collapsed="false">
      <c r="A45" s="26" t="n">
        <f aca="false">A44+1</f>
        <v>46312</v>
      </c>
      <c r="B45" s="18" t="n">
        <f aca="false">SUMIFS('Thu Chi'!$D$5:$D$504,'Thu Chi'!$A$5:$A$504,$A45)</f>
        <v>0</v>
      </c>
      <c r="C45" s="18" t="n">
        <f aca="false">SUMIFS('Thu Chi'!$E$5:$E$504,'Thu Chi'!$A$5:$A$504,$A45)</f>
        <v>0</v>
      </c>
      <c r="D45" s="18" t="n">
        <f aca="false">B45-C45</f>
        <v>0</v>
      </c>
      <c r="E45" s="18" t="n">
        <f aca="false">$B$5+SUM($D$29:D45)</f>
        <v>236006</v>
      </c>
      <c r="F45" s="18" t="n">
        <f aca="false">SUMIFS('Giao dịch TK'!$D$5:$D$504,'Giao dịch TK'!$A$5:$A$504,$A45)</f>
        <v>0</v>
      </c>
      <c r="G45" s="18" t="n">
        <f aca="false">SUMIFS('Giao dịch TK'!$E$5:$E$504,'Giao dịch TK'!$A$5:$A$504,$A45)</f>
        <v>0</v>
      </c>
      <c r="H45" s="18" t="n">
        <f aca="false">SUMIFS('Giao dịch TK'!$F$5:$F$504,'Giao dịch TK'!$A$5:$A$504,$A45)</f>
        <v>0</v>
      </c>
    </row>
    <row r="46" customFormat="false" ht="15" hidden="false" customHeight="false" outlineLevel="0" collapsed="false">
      <c r="A46" s="26" t="n">
        <f aca="false">A45+1</f>
        <v>46313</v>
      </c>
      <c r="B46" s="18" t="n">
        <f aca="false">SUMIFS('Thu Chi'!$D$5:$D$504,'Thu Chi'!$A$5:$A$504,$A46)</f>
        <v>0</v>
      </c>
      <c r="C46" s="18" t="n">
        <f aca="false">SUMIFS('Thu Chi'!$E$5:$E$504,'Thu Chi'!$A$5:$A$504,$A46)</f>
        <v>0</v>
      </c>
      <c r="D46" s="18" t="n">
        <f aca="false">B46-C46</f>
        <v>0</v>
      </c>
      <c r="E46" s="18" t="n">
        <f aca="false">$B$5+SUM($D$29:D46)</f>
        <v>236006</v>
      </c>
      <c r="F46" s="18" t="n">
        <f aca="false">SUMIFS('Giao dịch TK'!$D$5:$D$504,'Giao dịch TK'!$A$5:$A$504,$A46)</f>
        <v>0</v>
      </c>
      <c r="G46" s="18" t="n">
        <f aca="false">SUMIFS('Giao dịch TK'!$E$5:$E$504,'Giao dịch TK'!$A$5:$A$504,$A46)</f>
        <v>0</v>
      </c>
      <c r="H46" s="18" t="n">
        <f aca="false">SUMIFS('Giao dịch TK'!$F$5:$F$504,'Giao dịch TK'!$A$5:$A$504,$A46)</f>
        <v>0</v>
      </c>
    </row>
    <row r="47" customFormat="false" ht="15" hidden="false" customHeight="false" outlineLevel="0" collapsed="false">
      <c r="A47" s="26" t="n">
        <f aca="false">A46+1</f>
        <v>46314</v>
      </c>
      <c r="B47" s="18" t="n">
        <f aca="false">SUMIFS('Thu Chi'!$D$5:$D$504,'Thu Chi'!$A$5:$A$504,$A47)</f>
        <v>0</v>
      </c>
      <c r="C47" s="18" t="n">
        <f aca="false">SUMIFS('Thu Chi'!$E$5:$E$504,'Thu Chi'!$A$5:$A$504,$A47)</f>
        <v>0</v>
      </c>
      <c r="D47" s="18" t="n">
        <f aca="false">B47-C47</f>
        <v>0</v>
      </c>
      <c r="E47" s="18" t="n">
        <f aca="false">$B$5+SUM($D$29:D47)</f>
        <v>236006</v>
      </c>
      <c r="F47" s="18" t="n">
        <f aca="false">SUMIFS('Giao dịch TK'!$D$5:$D$504,'Giao dịch TK'!$A$5:$A$504,$A47)</f>
        <v>0</v>
      </c>
      <c r="G47" s="18" t="n">
        <f aca="false">SUMIFS('Giao dịch TK'!$E$5:$E$504,'Giao dịch TK'!$A$5:$A$504,$A47)</f>
        <v>0</v>
      </c>
      <c r="H47" s="18" t="n">
        <f aca="false">SUMIFS('Giao dịch TK'!$F$5:$F$504,'Giao dịch TK'!$A$5:$A$504,$A47)</f>
        <v>0</v>
      </c>
    </row>
    <row r="48" customFormat="false" ht="15" hidden="false" customHeight="false" outlineLevel="0" collapsed="false">
      <c r="A48" s="26" t="n">
        <f aca="false">A47+1</f>
        <v>46315</v>
      </c>
      <c r="B48" s="18" t="n">
        <f aca="false">SUMIFS('Thu Chi'!$D$5:$D$504,'Thu Chi'!$A$5:$A$504,$A48)</f>
        <v>0</v>
      </c>
      <c r="C48" s="18" t="n">
        <f aca="false">SUMIFS('Thu Chi'!$E$5:$E$504,'Thu Chi'!$A$5:$A$504,$A48)</f>
        <v>0</v>
      </c>
      <c r="D48" s="18" t="n">
        <f aca="false">B48-C48</f>
        <v>0</v>
      </c>
      <c r="E48" s="18" t="n">
        <f aca="false">$B$5+SUM($D$29:D48)</f>
        <v>236006</v>
      </c>
      <c r="F48" s="18" t="n">
        <f aca="false">SUMIFS('Giao dịch TK'!$D$5:$D$504,'Giao dịch TK'!$A$5:$A$504,$A48)</f>
        <v>0</v>
      </c>
      <c r="G48" s="18" t="n">
        <f aca="false">SUMIFS('Giao dịch TK'!$E$5:$E$504,'Giao dịch TK'!$A$5:$A$504,$A48)</f>
        <v>0</v>
      </c>
      <c r="H48" s="18" t="n">
        <f aca="false">SUMIFS('Giao dịch TK'!$F$5:$F$504,'Giao dịch TK'!$A$5:$A$504,$A48)</f>
        <v>0</v>
      </c>
    </row>
    <row r="49" customFormat="false" ht="15" hidden="false" customHeight="false" outlineLevel="0" collapsed="false">
      <c r="A49" s="26" t="n">
        <f aca="false">A48+1</f>
        <v>46316</v>
      </c>
      <c r="B49" s="18" t="n">
        <f aca="false">SUMIFS('Thu Chi'!$D$5:$D$504,'Thu Chi'!$A$5:$A$504,$A49)</f>
        <v>0</v>
      </c>
      <c r="C49" s="18" t="n">
        <f aca="false">SUMIFS('Thu Chi'!$E$5:$E$504,'Thu Chi'!$A$5:$A$504,$A49)</f>
        <v>0</v>
      </c>
      <c r="D49" s="18" t="n">
        <f aca="false">B49-C49</f>
        <v>0</v>
      </c>
      <c r="E49" s="18" t="n">
        <f aca="false">$B$5+SUM($D$29:D49)</f>
        <v>236006</v>
      </c>
      <c r="F49" s="18" t="n">
        <f aca="false">SUMIFS('Giao dịch TK'!$D$5:$D$504,'Giao dịch TK'!$A$5:$A$504,$A49)</f>
        <v>0</v>
      </c>
      <c r="G49" s="18" t="n">
        <f aca="false">SUMIFS('Giao dịch TK'!$E$5:$E$504,'Giao dịch TK'!$A$5:$A$504,$A49)</f>
        <v>0</v>
      </c>
      <c r="H49" s="18" t="n">
        <f aca="false">SUMIFS('Giao dịch TK'!$F$5:$F$504,'Giao dịch TK'!$A$5:$A$504,$A49)</f>
        <v>0</v>
      </c>
    </row>
    <row r="50" customFormat="false" ht="15" hidden="false" customHeight="false" outlineLevel="0" collapsed="false">
      <c r="A50" s="26" t="n">
        <f aca="false">A49+1</f>
        <v>46317</v>
      </c>
      <c r="B50" s="18" t="n">
        <f aca="false">SUMIFS('Thu Chi'!$D$5:$D$504,'Thu Chi'!$A$5:$A$504,$A50)</f>
        <v>0</v>
      </c>
      <c r="C50" s="18" t="n">
        <f aca="false">SUMIFS('Thu Chi'!$E$5:$E$504,'Thu Chi'!$A$5:$A$504,$A50)</f>
        <v>0</v>
      </c>
      <c r="D50" s="18" t="n">
        <f aca="false">B50-C50</f>
        <v>0</v>
      </c>
      <c r="E50" s="18" t="n">
        <f aca="false">$B$5+SUM($D$29:D50)</f>
        <v>236006</v>
      </c>
      <c r="F50" s="18" t="n">
        <f aca="false">SUMIFS('Giao dịch TK'!$D$5:$D$504,'Giao dịch TK'!$A$5:$A$504,$A50)</f>
        <v>0</v>
      </c>
      <c r="G50" s="18" t="n">
        <f aca="false">SUMIFS('Giao dịch TK'!$E$5:$E$504,'Giao dịch TK'!$A$5:$A$504,$A50)</f>
        <v>0</v>
      </c>
      <c r="H50" s="18" t="n">
        <f aca="false">SUMIFS('Giao dịch TK'!$F$5:$F$504,'Giao dịch TK'!$A$5:$A$504,$A50)</f>
        <v>0</v>
      </c>
    </row>
    <row r="51" customFormat="false" ht="15" hidden="false" customHeight="false" outlineLevel="0" collapsed="false">
      <c r="A51" s="26" t="n">
        <f aca="false">A50+1</f>
        <v>46318</v>
      </c>
      <c r="B51" s="18" t="n">
        <f aca="false">SUMIFS('Thu Chi'!$D$5:$D$504,'Thu Chi'!$A$5:$A$504,$A51)</f>
        <v>0</v>
      </c>
      <c r="C51" s="18" t="n">
        <f aca="false">SUMIFS('Thu Chi'!$E$5:$E$504,'Thu Chi'!$A$5:$A$504,$A51)</f>
        <v>0</v>
      </c>
      <c r="D51" s="18" t="n">
        <f aca="false">B51-C51</f>
        <v>0</v>
      </c>
      <c r="E51" s="18" t="n">
        <f aca="false">$B$5+SUM($D$29:D51)</f>
        <v>236006</v>
      </c>
      <c r="F51" s="18" t="n">
        <f aca="false">SUMIFS('Giao dịch TK'!$D$5:$D$504,'Giao dịch TK'!$A$5:$A$504,$A51)</f>
        <v>0</v>
      </c>
      <c r="G51" s="18" t="n">
        <f aca="false">SUMIFS('Giao dịch TK'!$E$5:$E$504,'Giao dịch TK'!$A$5:$A$504,$A51)</f>
        <v>0</v>
      </c>
      <c r="H51" s="18" t="n">
        <f aca="false">SUMIFS('Giao dịch TK'!$F$5:$F$504,'Giao dịch TK'!$A$5:$A$504,$A51)</f>
        <v>0</v>
      </c>
    </row>
    <row r="52" customFormat="false" ht="15" hidden="false" customHeight="false" outlineLevel="0" collapsed="false">
      <c r="A52" s="26" t="n">
        <f aca="false">A51+1</f>
        <v>46319</v>
      </c>
      <c r="B52" s="18" t="n">
        <f aca="false">SUMIFS('Thu Chi'!$D$5:$D$504,'Thu Chi'!$A$5:$A$504,$A52)</f>
        <v>0</v>
      </c>
      <c r="C52" s="18" t="n">
        <f aca="false">SUMIFS('Thu Chi'!$E$5:$E$504,'Thu Chi'!$A$5:$A$504,$A52)</f>
        <v>0</v>
      </c>
      <c r="D52" s="18" t="n">
        <f aca="false">B52-C52</f>
        <v>0</v>
      </c>
      <c r="E52" s="18" t="n">
        <f aca="false">$B$5+SUM($D$29:D52)</f>
        <v>236006</v>
      </c>
      <c r="F52" s="18" t="n">
        <f aca="false">SUMIFS('Giao dịch TK'!$D$5:$D$504,'Giao dịch TK'!$A$5:$A$504,$A52)</f>
        <v>0</v>
      </c>
      <c r="G52" s="18" t="n">
        <f aca="false">SUMIFS('Giao dịch TK'!$E$5:$E$504,'Giao dịch TK'!$A$5:$A$504,$A52)</f>
        <v>0</v>
      </c>
      <c r="H52" s="18" t="n">
        <f aca="false">SUMIFS('Giao dịch TK'!$F$5:$F$504,'Giao dịch TK'!$A$5:$A$504,$A52)</f>
        <v>0</v>
      </c>
    </row>
    <row r="53" customFormat="false" ht="15" hidden="false" customHeight="false" outlineLevel="0" collapsed="false">
      <c r="A53" s="26" t="n">
        <f aca="false">A52+1</f>
        <v>46320</v>
      </c>
      <c r="B53" s="18" t="n">
        <f aca="false">SUMIFS('Thu Chi'!$D$5:$D$504,'Thu Chi'!$A$5:$A$504,$A53)</f>
        <v>0</v>
      </c>
      <c r="C53" s="18" t="n">
        <f aca="false">SUMIFS('Thu Chi'!$E$5:$E$504,'Thu Chi'!$A$5:$A$504,$A53)</f>
        <v>0</v>
      </c>
      <c r="D53" s="18" t="n">
        <f aca="false">B53-C53</f>
        <v>0</v>
      </c>
      <c r="E53" s="18" t="n">
        <f aca="false">$B$5+SUM($D$29:D53)</f>
        <v>236006</v>
      </c>
      <c r="F53" s="18" t="n">
        <f aca="false">SUMIFS('Giao dịch TK'!$D$5:$D$504,'Giao dịch TK'!$A$5:$A$504,$A53)</f>
        <v>0</v>
      </c>
      <c r="G53" s="18" t="n">
        <f aca="false">SUMIFS('Giao dịch TK'!$E$5:$E$504,'Giao dịch TK'!$A$5:$A$504,$A53)</f>
        <v>0</v>
      </c>
      <c r="H53" s="18" t="n">
        <f aca="false">SUMIFS('Giao dịch TK'!$F$5:$F$504,'Giao dịch TK'!$A$5:$A$504,$A53)</f>
        <v>0</v>
      </c>
    </row>
    <row r="54" customFormat="false" ht="15" hidden="false" customHeight="false" outlineLevel="0" collapsed="false">
      <c r="A54" s="26" t="n">
        <f aca="false">A53+1</f>
        <v>46321</v>
      </c>
      <c r="B54" s="18" t="n">
        <f aca="false">SUMIFS('Thu Chi'!$D$5:$D$504,'Thu Chi'!$A$5:$A$504,$A54)</f>
        <v>0</v>
      </c>
      <c r="C54" s="18" t="n">
        <f aca="false">SUMIFS('Thu Chi'!$E$5:$E$504,'Thu Chi'!$A$5:$A$504,$A54)</f>
        <v>0</v>
      </c>
      <c r="D54" s="18" t="n">
        <f aca="false">B54-C54</f>
        <v>0</v>
      </c>
      <c r="E54" s="18" t="n">
        <f aca="false">$B$5+SUM($D$29:D54)</f>
        <v>236006</v>
      </c>
      <c r="F54" s="18" t="n">
        <f aca="false">SUMIFS('Giao dịch TK'!$D$5:$D$504,'Giao dịch TK'!$A$5:$A$504,$A54)</f>
        <v>0</v>
      </c>
      <c r="G54" s="18" t="n">
        <f aca="false">SUMIFS('Giao dịch TK'!$E$5:$E$504,'Giao dịch TK'!$A$5:$A$504,$A54)</f>
        <v>0</v>
      </c>
      <c r="H54" s="18" t="n">
        <f aca="false">SUMIFS('Giao dịch TK'!$F$5:$F$504,'Giao dịch TK'!$A$5:$A$504,$A54)</f>
        <v>0</v>
      </c>
    </row>
    <row r="55" customFormat="false" ht="15" hidden="false" customHeight="false" outlineLevel="0" collapsed="false">
      <c r="A55" s="26" t="n">
        <f aca="false">A54+1</f>
        <v>46322</v>
      </c>
      <c r="B55" s="18" t="n">
        <f aca="false">SUMIFS('Thu Chi'!$D$5:$D$504,'Thu Chi'!$A$5:$A$504,$A55)</f>
        <v>0</v>
      </c>
      <c r="C55" s="18" t="n">
        <f aca="false">SUMIFS('Thu Chi'!$E$5:$E$504,'Thu Chi'!$A$5:$A$504,$A55)</f>
        <v>0</v>
      </c>
      <c r="D55" s="18" t="n">
        <f aca="false">B55-C55</f>
        <v>0</v>
      </c>
      <c r="E55" s="18" t="n">
        <f aca="false">$B$5+SUM($D$29:D55)</f>
        <v>236006</v>
      </c>
      <c r="F55" s="18" t="n">
        <f aca="false">SUMIFS('Giao dịch TK'!$D$5:$D$504,'Giao dịch TK'!$A$5:$A$504,$A55)</f>
        <v>0</v>
      </c>
      <c r="G55" s="18" t="n">
        <f aca="false">SUMIFS('Giao dịch TK'!$E$5:$E$504,'Giao dịch TK'!$A$5:$A$504,$A55)</f>
        <v>0</v>
      </c>
      <c r="H55" s="18" t="n">
        <f aca="false">SUMIFS('Giao dịch TK'!$F$5:$F$504,'Giao dịch TK'!$A$5:$A$504,$A55)</f>
        <v>0</v>
      </c>
    </row>
    <row r="56" customFormat="false" ht="15" hidden="false" customHeight="false" outlineLevel="0" collapsed="false">
      <c r="A56" s="26" t="n">
        <f aca="false">A55+1</f>
        <v>46323</v>
      </c>
      <c r="B56" s="18" t="n">
        <f aca="false">SUMIFS('Thu Chi'!$D$5:$D$504,'Thu Chi'!$A$5:$A$504,$A56)</f>
        <v>0</v>
      </c>
      <c r="C56" s="18" t="n">
        <f aca="false">SUMIFS('Thu Chi'!$E$5:$E$504,'Thu Chi'!$A$5:$A$504,$A56)</f>
        <v>0</v>
      </c>
      <c r="D56" s="18" t="n">
        <f aca="false">B56-C56</f>
        <v>0</v>
      </c>
      <c r="E56" s="18" t="n">
        <f aca="false">$B$5+SUM($D$29:D56)</f>
        <v>236006</v>
      </c>
      <c r="F56" s="18" t="n">
        <f aca="false">SUMIFS('Giao dịch TK'!$D$5:$D$504,'Giao dịch TK'!$A$5:$A$504,$A56)</f>
        <v>0</v>
      </c>
      <c r="G56" s="18" t="n">
        <f aca="false">SUMIFS('Giao dịch TK'!$E$5:$E$504,'Giao dịch TK'!$A$5:$A$504,$A56)</f>
        <v>0</v>
      </c>
      <c r="H56" s="18" t="n">
        <f aca="false">SUMIFS('Giao dịch TK'!$F$5:$F$504,'Giao dịch TK'!$A$5:$A$504,$A56)</f>
        <v>0</v>
      </c>
    </row>
    <row r="57" customFormat="false" ht="15" hidden="false" customHeight="false" outlineLevel="0" collapsed="false">
      <c r="A57" s="26" t="n">
        <f aca="false">A56+1</f>
        <v>46324</v>
      </c>
      <c r="B57" s="18" t="n">
        <f aca="false">SUMIFS('Thu Chi'!$D$5:$D$504,'Thu Chi'!$A$5:$A$504,$A57)</f>
        <v>0</v>
      </c>
      <c r="C57" s="18" t="n">
        <f aca="false">SUMIFS('Thu Chi'!$E$5:$E$504,'Thu Chi'!$A$5:$A$504,$A57)</f>
        <v>0</v>
      </c>
      <c r="D57" s="18" t="n">
        <f aca="false">B57-C57</f>
        <v>0</v>
      </c>
      <c r="E57" s="18" t="n">
        <f aca="false">$B$5+SUM($D$29:D57)</f>
        <v>236006</v>
      </c>
      <c r="F57" s="18" t="n">
        <f aca="false">SUMIFS('Giao dịch TK'!$D$5:$D$504,'Giao dịch TK'!$A$5:$A$504,$A57)</f>
        <v>0</v>
      </c>
      <c r="G57" s="18" t="n">
        <f aca="false">SUMIFS('Giao dịch TK'!$E$5:$E$504,'Giao dịch TK'!$A$5:$A$504,$A57)</f>
        <v>0</v>
      </c>
      <c r="H57" s="18" t="n">
        <f aca="false">SUMIFS('Giao dịch TK'!$F$5:$F$504,'Giao dịch TK'!$A$5:$A$504,$A57)</f>
        <v>0</v>
      </c>
    </row>
    <row r="58" customFormat="false" ht="15" hidden="false" customHeight="false" outlineLevel="0" collapsed="false">
      <c r="A58" s="26" t="n">
        <f aca="false">A57+1</f>
        <v>46325</v>
      </c>
      <c r="B58" s="18" t="n">
        <f aca="false">SUMIFS('Thu Chi'!$D$5:$D$504,'Thu Chi'!$A$5:$A$504,$A58)</f>
        <v>0</v>
      </c>
      <c r="C58" s="18" t="n">
        <f aca="false">SUMIFS('Thu Chi'!$E$5:$E$504,'Thu Chi'!$A$5:$A$504,$A58)</f>
        <v>0</v>
      </c>
      <c r="D58" s="18" t="n">
        <f aca="false">B58-C58</f>
        <v>0</v>
      </c>
      <c r="E58" s="18" t="n">
        <f aca="false">$B$5+SUM($D$29:D58)</f>
        <v>236006</v>
      </c>
      <c r="F58" s="18" t="n">
        <f aca="false">SUMIFS('Giao dịch TK'!$D$5:$D$504,'Giao dịch TK'!$A$5:$A$504,$A58)</f>
        <v>0</v>
      </c>
      <c r="G58" s="18" t="n">
        <f aca="false">SUMIFS('Giao dịch TK'!$E$5:$E$504,'Giao dịch TK'!$A$5:$A$504,$A58)</f>
        <v>0</v>
      </c>
      <c r="H58" s="18" t="n">
        <f aca="false">SUMIFS('Giao dịch TK'!$F$5:$F$504,'Giao dịch TK'!$A$5:$A$504,$A58)</f>
        <v>0</v>
      </c>
    </row>
    <row r="59" customFormat="false" ht="15" hidden="false" customHeight="false" outlineLevel="0" collapsed="false">
      <c r="A59" s="26" t="n">
        <f aca="false">A58+1</f>
        <v>46326</v>
      </c>
      <c r="B59" s="18" t="n">
        <f aca="false">SUMIFS('Thu Chi'!$D$5:$D$504,'Thu Chi'!$A$5:$A$504,$A59)</f>
        <v>0</v>
      </c>
      <c r="C59" s="18" t="n">
        <f aca="false">SUMIFS('Thu Chi'!$E$5:$E$504,'Thu Chi'!$A$5:$A$504,$A59)</f>
        <v>0</v>
      </c>
      <c r="D59" s="18" t="n">
        <f aca="false">B59-C59</f>
        <v>0</v>
      </c>
      <c r="E59" s="18" t="n">
        <f aca="false">$B$5+SUM($D$29:D59)</f>
        <v>236006</v>
      </c>
      <c r="F59" s="18" t="n">
        <f aca="false">SUMIFS('Giao dịch TK'!$D$5:$D$504,'Giao dịch TK'!$A$5:$A$504,$A59)</f>
        <v>0</v>
      </c>
      <c r="G59" s="18" t="n">
        <f aca="false">SUMIFS('Giao dịch TK'!$E$5:$E$504,'Giao dịch TK'!$A$5:$A$504,$A59)</f>
        <v>0</v>
      </c>
      <c r="H59" s="18" t="n">
        <f aca="false">SUMIFS('Giao dịch TK'!$F$5:$F$504,'Giao dịch TK'!$A$5:$A$504,$A59)</f>
        <v>0</v>
      </c>
    </row>
    <row r="60" customFormat="false" ht="15" hidden="false" customHeight="false" outlineLevel="0" collapsed="false">
      <c r="A60" s="27" t="s">
        <v>63</v>
      </c>
      <c r="B60" s="28" t="n">
        <f aca="false">SUMIFS('Thu Chi'!$D$5:$D$504,'Thu Chi'!$A$5:$A$504,"",'Thu Chi'!$D$5:$D$504,"&lt;&gt;")</f>
        <v>0</v>
      </c>
      <c r="C60" s="28" t="n">
        <f aca="false">SUMIFS('Thu Chi'!$E$5:$E$504,'Thu Chi'!$A$5:$A$504,"",'Thu Chi'!$E$5:$E$504,"&lt;&gt;")</f>
        <v>0</v>
      </c>
      <c r="D60" s="28" t="n">
        <f aca="false">B60-C60</f>
        <v>0</v>
      </c>
      <c r="E60" s="28"/>
      <c r="F60" s="28" t="n">
        <f aca="false">SUMIFS('Giao dịch TK'!$D$5:$D$504,'Giao dịch TK'!$A$5:$A$504,"",'Giao dịch TK'!$B$5:$B$504,"&lt;&gt;")</f>
        <v>4000</v>
      </c>
      <c r="G60" s="28" t="n">
        <f aca="false">SUMIFS('Giao dịch TK'!$E$5:$E$504,'Giao dịch TK'!$A$5:$A$504,"",'Giao dịch TK'!$B$5:$B$504,"&lt;&gt;")</f>
        <v>0</v>
      </c>
      <c r="H60" s="28" t="n">
        <f aca="false">SUMIFS('Giao dịch TK'!$F$5:$F$504,'Giao dịch TK'!$A$5:$A$504,"",'Giao dịch TK'!$B$5:$B$504,"&lt;&gt;")</f>
        <v>0</v>
      </c>
    </row>
    <row r="61" customFormat="false" ht="15" hidden="false" customHeight="false" outlineLevel="0" collapsed="false">
      <c r="A61" s="20" t="s">
        <v>64</v>
      </c>
      <c r="B61" s="22" t="n">
        <f aca="false">SUM(B29:B60)</f>
        <v>349200</v>
      </c>
      <c r="C61" s="22" t="n">
        <f aca="false">SUM(C29:C60)</f>
        <v>113194</v>
      </c>
      <c r="D61" s="22" t="n">
        <f aca="false">SUM(D29:D60)</f>
        <v>236006</v>
      </c>
      <c r="E61" s="22" t="n">
        <f aca="false">B5+D61</f>
        <v>236006</v>
      </c>
      <c r="F61" s="22" t="n">
        <f aca="false">SUM(F29:F60)</f>
        <v>72390</v>
      </c>
      <c r="G61" s="22" t="n">
        <f aca="false">SUM(G29:G60)</f>
        <v>84390</v>
      </c>
      <c r="H61" s="22" t="n">
        <f aca="false">SUM(H29:H60)</f>
        <v>4840</v>
      </c>
    </row>
  </sheetData>
  <conditionalFormatting sqref="A29:H59">
    <cfRule type="expression" priority="2" aboveAverage="0" equalAverage="0" bottom="0" percent="0" rank="0" text="" dxfId="0">
      <formula>AND($B29=0,$C29=0,$F29=0,$G29=0,$H29=0)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65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6" t="s">
        <v>47</v>
      </c>
      <c r="B4" s="16" t="s">
        <v>67</v>
      </c>
      <c r="C4" s="16" t="s">
        <v>68</v>
      </c>
      <c r="D4" s="2"/>
      <c r="E4" s="2"/>
      <c r="F4" s="2"/>
    </row>
    <row r="5" customFormat="false" ht="15" hidden="false" customHeight="false" outlineLevel="0" collapsed="false">
      <c r="A5" s="29" t="s">
        <v>69</v>
      </c>
      <c r="B5" s="29" t="s">
        <v>70</v>
      </c>
      <c r="C5" s="29" t="s">
        <v>71</v>
      </c>
      <c r="D5" s="2"/>
      <c r="E5" s="6" t="s">
        <v>72</v>
      </c>
      <c r="F5" s="30" t="n">
        <v>0</v>
      </c>
    </row>
    <row r="6" customFormat="false" ht="15" hidden="false" customHeight="false" outlineLevel="0" collapsed="false">
      <c r="A6" s="29" t="s">
        <v>73</v>
      </c>
      <c r="B6" s="29" t="s">
        <v>74</v>
      </c>
      <c r="C6" s="29" t="s">
        <v>75</v>
      </c>
      <c r="D6" s="2"/>
      <c r="E6" s="2"/>
      <c r="F6" s="2"/>
    </row>
    <row r="7" customFormat="false" ht="15" hidden="false" customHeight="false" outlineLevel="0" collapsed="false">
      <c r="A7" s="29" t="s">
        <v>71</v>
      </c>
      <c r="B7" s="29" t="s">
        <v>76</v>
      </c>
      <c r="C7" s="29" t="s">
        <v>73</v>
      </c>
      <c r="D7" s="2"/>
      <c r="E7" s="2"/>
      <c r="F7" s="2"/>
    </row>
    <row r="8" customFormat="false" ht="15" hidden="false" customHeight="false" outlineLevel="0" collapsed="false">
      <c r="A8" s="29" t="s">
        <v>77</v>
      </c>
      <c r="B8" s="29" t="s">
        <v>78</v>
      </c>
      <c r="C8" s="29" t="s">
        <v>79</v>
      </c>
      <c r="D8" s="2"/>
      <c r="E8" s="2"/>
      <c r="F8" s="2"/>
    </row>
    <row r="9" customFormat="false" ht="15" hidden="false" customHeight="false" outlineLevel="0" collapsed="false">
      <c r="A9" s="29" t="s">
        <v>80</v>
      </c>
      <c r="B9" s="29" t="s">
        <v>81</v>
      </c>
      <c r="C9" s="29" t="s">
        <v>82</v>
      </c>
      <c r="D9" s="2"/>
      <c r="E9" s="2"/>
      <c r="F9" s="2"/>
    </row>
    <row r="10" customFormat="false" ht="15" hidden="false" customHeight="false" outlineLevel="0" collapsed="false">
      <c r="A10" s="29" t="s">
        <v>83</v>
      </c>
      <c r="B10" s="29" t="s">
        <v>84</v>
      </c>
      <c r="C10" s="29" t="s">
        <v>85</v>
      </c>
      <c r="D10" s="2"/>
      <c r="E10" s="2"/>
      <c r="F10" s="2"/>
    </row>
    <row r="11" customFormat="false" ht="15" hidden="false" customHeight="false" outlineLevel="0" collapsed="false">
      <c r="A11" s="2"/>
      <c r="B11" s="29" t="s">
        <v>86</v>
      </c>
      <c r="C11" s="29" t="s">
        <v>87</v>
      </c>
      <c r="D11" s="2"/>
      <c r="E11" s="2"/>
      <c r="F11" s="2"/>
    </row>
    <row r="12" customFormat="false" ht="15" hidden="false" customHeight="false" outlineLevel="0" collapsed="false">
      <c r="A12" s="2"/>
      <c r="B12" s="2"/>
      <c r="C12" s="29" t="s">
        <v>88</v>
      </c>
      <c r="D12" s="2"/>
      <c r="E12" s="2"/>
      <c r="F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89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90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1" t="s">
        <v>57</v>
      </c>
      <c r="B4" s="31" t="s">
        <v>68</v>
      </c>
      <c r="C4" s="31" t="s">
        <v>38</v>
      </c>
      <c r="D4" s="31" t="s">
        <v>39</v>
      </c>
      <c r="E4" s="31" t="s">
        <v>40</v>
      </c>
      <c r="F4" s="31" t="s">
        <v>91</v>
      </c>
      <c r="G4" s="31" t="s">
        <v>92</v>
      </c>
      <c r="H4" s="31" t="s">
        <v>93</v>
      </c>
      <c r="I4" s="31" t="s">
        <v>94</v>
      </c>
    </row>
    <row r="5" customFormat="false" ht="15" hidden="false" customHeight="false" outlineLevel="0" collapsed="false">
      <c r="A5" s="32" t="n">
        <v>46296</v>
      </c>
      <c r="B5" s="29" t="s">
        <v>73</v>
      </c>
      <c r="C5" s="29" t="s">
        <v>76</v>
      </c>
      <c r="D5" s="25"/>
      <c r="E5" s="25" t="n">
        <v>4600</v>
      </c>
      <c r="F5" s="18" t="n">
        <f aca="false">IF(AND(D5="",E5=""),"",'Danh mục'!$F$5+SUM($D$5:D5)-SUM($E$5:E5))</f>
        <v>-4600</v>
      </c>
      <c r="G5" s="29" t="s">
        <v>95</v>
      </c>
      <c r="H5" s="33" t="s">
        <v>96</v>
      </c>
      <c r="I5" s="34"/>
    </row>
    <row r="6" customFormat="false" ht="15" hidden="false" customHeight="false" outlineLevel="0" collapsed="false">
      <c r="A6" s="32" t="n">
        <v>46296</v>
      </c>
      <c r="B6" s="29" t="s">
        <v>73</v>
      </c>
      <c r="C6" s="29" t="s">
        <v>76</v>
      </c>
      <c r="D6" s="25"/>
      <c r="E6" s="25" t="n">
        <v>2100</v>
      </c>
      <c r="F6" s="18" t="n">
        <f aca="false">IF(AND(D6="",E6=""),"",'Danh mục'!$F$5+SUM($D$5:D6)-SUM($E$5:E6))</f>
        <v>-6700</v>
      </c>
      <c r="G6" s="29" t="s">
        <v>97</v>
      </c>
      <c r="H6" s="33" t="s">
        <v>98</v>
      </c>
      <c r="I6" s="34"/>
    </row>
    <row r="7" customFormat="false" ht="15" hidden="false" customHeight="false" outlineLevel="0" collapsed="false">
      <c r="A7" s="32" t="n">
        <v>46296</v>
      </c>
      <c r="B7" s="29" t="s">
        <v>73</v>
      </c>
      <c r="C7" s="29" t="s">
        <v>76</v>
      </c>
      <c r="D7" s="25"/>
      <c r="E7" s="25" t="n">
        <v>5400</v>
      </c>
      <c r="F7" s="18" t="n">
        <f aca="false">IF(AND(D7="",E7=""),"",'Danh mục'!$F$5+SUM($D$5:D7)-SUM($E$5:E7))</f>
        <v>-12100</v>
      </c>
      <c r="G7" s="29" t="s">
        <v>99</v>
      </c>
      <c r="H7" s="33" t="s">
        <v>100</v>
      </c>
      <c r="I7" s="34"/>
    </row>
    <row r="8" customFormat="false" ht="15" hidden="false" customHeight="false" outlineLevel="0" collapsed="false">
      <c r="A8" s="32" t="n">
        <v>46296</v>
      </c>
      <c r="B8" s="29" t="s">
        <v>73</v>
      </c>
      <c r="C8" s="29" t="s">
        <v>76</v>
      </c>
      <c r="D8" s="25"/>
      <c r="E8" s="25" t="n">
        <v>400</v>
      </c>
      <c r="F8" s="18" t="n">
        <f aca="false">IF(AND(D8="",E8=""),"",'Danh mục'!$F$5+SUM($D$5:D8)-SUM($E$5:E8))</f>
        <v>-12500</v>
      </c>
      <c r="G8" s="29" t="s">
        <v>97</v>
      </c>
      <c r="H8" s="33" t="s">
        <v>101</v>
      </c>
      <c r="I8" s="34"/>
    </row>
    <row r="9" customFormat="false" ht="15" hidden="false" customHeight="false" outlineLevel="0" collapsed="false">
      <c r="A9" s="32" t="n">
        <v>46296</v>
      </c>
      <c r="B9" s="29" t="s">
        <v>79</v>
      </c>
      <c r="C9" s="29" t="s">
        <v>76</v>
      </c>
      <c r="D9" s="25"/>
      <c r="E9" s="25" t="n">
        <v>350</v>
      </c>
      <c r="F9" s="18" t="n">
        <f aca="false">IF(AND(D9="",E9=""),"",'Danh mục'!$F$5+SUM($D$5:D9)-SUM($E$5:E9))</f>
        <v>-12850</v>
      </c>
      <c r="G9" s="29" t="s">
        <v>102</v>
      </c>
      <c r="H9" s="33" t="s">
        <v>103</v>
      </c>
      <c r="I9" s="34"/>
    </row>
    <row r="10" customFormat="false" ht="15" hidden="false" customHeight="false" outlineLevel="0" collapsed="false">
      <c r="A10" s="32" t="n">
        <v>46296</v>
      </c>
      <c r="B10" s="29" t="s">
        <v>82</v>
      </c>
      <c r="C10" s="29" t="s">
        <v>76</v>
      </c>
      <c r="D10" s="25"/>
      <c r="E10" s="25" t="n">
        <v>2100</v>
      </c>
      <c r="F10" s="18" t="n">
        <f aca="false">IF(AND(D10="",E10=""),"",'Danh mục'!$F$5+SUM($D$5:D10)-SUM($E$5:E10))</f>
        <v>-14950</v>
      </c>
      <c r="G10" s="29"/>
      <c r="H10" s="33" t="s">
        <v>104</v>
      </c>
      <c r="I10" s="34" t="s">
        <v>105</v>
      </c>
    </row>
    <row r="11" customFormat="false" ht="15" hidden="false" customHeight="false" outlineLevel="0" collapsed="false">
      <c r="A11" s="32" t="n">
        <v>46297</v>
      </c>
      <c r="B11" s="29" t="s">
        <v>71</v>
      </c>
      <c r="C11" s="29" t="s">
        <v>70</v>
      </c>
      <c r="D11" s="25" t="n">
        <v>9200</v>
      </c>
      <c r="E11" s="25"/>
      <c r="F11" s="18" t="n">
        <f aca="false">IF(AND(D11="",E11=""),"",'Danh mục'!$F$5+SUM($D$5:D11)-SUM($E$5:E11))</f>
        <v>-5750</v>
      </c>
      <c r="G11" s="29"/>
      <c r="H11" s="33" t="s">
        <v>106</v>
      </c>
      <c r="I11" s="34"/>
    </row>
    <row r="12" customFormat="false" ht="15" hidden="false" customHeight="false" outlineLevel="0" collapsed="false">
      <c r="A12" s="32" t="n">
        <v>46297</v>
      </c>
      <c r="B12" s="29" t="s">
        <v>71</v>
      </c>
      <c r="C12" s="29" t="s">
        <v>78</v>
      </c>
      <c r="D12" s="25"/>
      <c r="E12" s="25" t="n">
        <v>6417</v>
      </c>
      <c r="F12" s="18" t="n">
        <f aca="false">IF(AND(D12="",E12=""),"",'Danh mục'!$F$5+SUM($D$5:D12)-SUM($E$5:E12))</f>
        <v>-12167</v>
      </c>
      <c r="G12" s="29" t="s">
        <v>107</v>
      </c>
      <c r="H12" s="33" t="s">
        <v>108</v>
      </c>
      <c r="I12" s="34"/>
    </row>
    <row r="13" customFormat="false" ht="15" hidden="false" customHeight="false" outlineLevel="0" collapsed="false">
      <c r="A13" s="32" t="n">
        <v>46297</v>
      </c>
      <c r="B13" s="29" t="s">
        <v>71</v>
      </c>
      <c r="C13" s="29" t="s">
        <v>76</v>
      </c>
      <c r="D13" s="25"/>
      <c r="E13" s="25" t="n">
        <v>2300</v>
      </c>
      <c r="F13" s="18" t="n">
        <f aca="false">IF(AND(D13="",E13=""),"",'Danh mục'!$F$5+SUM($D$5:D13)-SUM($E$5:E13))</f>
        <v>-14467</v>
      </c>
      <c r="G13" s="29" t="s">
        <v>109</v>
      </c>
      <c r="H13" s="33" t="s">
        <v>110</v>
      </c>
      <c r="I13" s="34" t="s">
        <v>111</v>
      </c>
    </row>
    <row r="14" customFormat="false" ht="15" hidden="false" customHeight="false" outlineLevel="0" collapsed="false">
      <c r="A14" s="32" t="n">
        <v>46297</v>
      </c>
      <c r="B14" s="29" t="s">
        <v>79</v>
      </c>
      <c r="C14" s="29" t="s">
        <v>76</v>
      </c>
      <c r="D14" s="25"/>
      <c r="E14" s="25" t="n">
        <v>1000</v>
      </c>
      <c r="F14" s="18" t="n">
        <f aca="false">IF(AND(D14="",E14=""),"",'Danh mục'!$F$5+SUM($D$5:D14)-SUM($E$5:E14))</f>
        <v>-15467</v>
      </c>
      <c r="G14" s="29" t="s">
        <v>112</v>
      </c>
      <c r="H14" s="33" t="s">
        <v>113</v>
      </c>
      <c r="I14" s="34"/>
    </row>
    <row r="15" customFormat="false" ht="15" hidden="false" customHeight="false" outlineLevel="0" collapsed="false">
      <c r="A15" s="32" t="n">
        <v>46297</v>
      </c>
      <c r="B15" s="29" t="s">
        <v>87</v>
      </c>
      <c r="C15" s="29" t="s">
        <v>74</v>
      </c>
      <c r="D15" s="25"/>
      <c r="E15" s="25" t="n">
        <v>5200</v>
      </c>
      <c r="F15" s="18" t="n">
        <f aca="false">IF(AND(D15="",E15=""),"",'Danh mục'!$F$5+SUM($D$5:D15)-SUM($E$5:E15))</f>
        <v>-20667</v>
      </c>
      <c r="G15" s="29" t="s">
        <v>74</v>
      </c>
      <c r="H15" s="33" t="s">
        <v>114</v>
      </c>
      <c r="I15" s="34"/>
    </row>
    <row r="16" customFormat="false" ht="15" hidden="false" customHeight="false" outlineLevel="0" collapsed="false">
      <c r="A16" s="32" t="n">
        <v>46297</v>
      </c>
      <c r="B16" s="29" t="s">
        <v>79</v>
      </c>
      <c r="C16" s="29" t="s">
        <v>74</v>
      </c>
      <c r="D16" s="25"/>
      <c r="E16" s="25" t="n">
        <v>10000</v>
      </c>
      <c r="F16" s="18" t="n">
        <f aca="false">IF(AND(D16="",E16=""),"",'Danh mục'!$F$5+SUM($D$5:D16)-SUM($E$5:E16))</f>
        <v>-30667</v>
      </c>
      <c r="G16" s="29" t="s">
        <v>74</v>
      </c>
      <c r="H16" s="33" t="s">
        <v>115</v>
      </c>
      <c r="I16" s="34"/>
    </row>
    <row r="17" customFormat="false" ht="15" hidden="false" customHeight="false" outlineLevel="0" collapsed="false">
      <c r="A17" s="32" t="n">
        <v>46298</v>
      </c>
      <c r="B17" s="29" t="s">
        <v>71</v>
      </c>
      <c r="C17" s="29" t="s">
        <v>70</v>
      </c>
      <c r="D17" s="25" t="n">
        <v>25000</v>
      </c>
      <c r="E17" s="25"/>
      <c r="F17" s="18" t="n">
        <f aca="false">IF(AND(D17="",E17=""),"",'Danh mục'!$F$5+SUM($D$5:D17)-SUM($E$5:E17))</f>
        <v>-5667</v>
      </c>
      <c r="G17" s="29"/>
      <c r="H17" s="33" t="s">
        <v>116</v>
      </c>
      <c r="I17" s="34"/>
    </row>
    <row r="18" customFormat="false" ht="15" hidden="false" customHeight="false" outlineLevel="0" collapsed="false">
      <c r="A18" s="32" t="n">
        <v>46298</v>
      </c>
      <c r="B18" s="29" t="s">
        <v>71</v>
      </c>
      <c r="C18" s="29" t="s">
        <v>70</v>
      </c>
      <c r="D18" s="25" t="n">
        <v>15000</v>
      </c>
      <c r="E18" s="25"/>
      <c r="F18" s="18" t="n">
        <f aca="false">IF(AND(D18="",E18=""),"",'Danh mục'!$F$5+SUM($D$5:D18)-SUM($E$5:E18))</f>
        <v>9333</v>
      </c>
      <c r="G18" s="29"/>
      <c r="H18" s="33" t="s">
        <v>117</v>
      </c>
      <c r="I18" s="34"/>
    </row>
    <row r="19" customFormat="false" ht="15" hidden="false" customHeight="false" outlineLevel="0" collapsed="false">
      <c r="A19" s="32" t="n">
        <v>46298</v>
      </c>
      <c r="B19" s="29" t="s">
        <v>75</v>
      </c>
      <c r="C19" s="29" t="s">
        <v>78</v>
      </c>
      <c r="D19" s="25"/>
      <c r="E19" s="25" t="n">
        <v>11400</v>
      </c>
      <c r="F19" s="18" t="n">
        <f aca="false">IF(AND(D19="",E19=""),"",'Danh mục'!$F$5+SUM($D$5:D19)-SUM($E$5:E19))</f>
        <v>-2067</v>
      </c>
      <c r="G19" s="29" t="s">
        <v>118</v>
      </c>
      <c r="H19" s="33" t="s">
        <v>119</v>
      </c>
      <c r="I19" s="34"/>
    </row>
    <row r="20" customFormat="false" ht="15" hidden="false" customHeight="false" outlineLevel="0" collapsed="false">
      <c r="A20" s="32" t="n">
        <v>46298</v>
      </c>
      <c r="B20" s="29" t="s">
        <v>75</v>
      </c>
      <c r="C20" s="29" t="s">
        <v>78</v>
      </c>
      <c r="D20" s="25"/>
      <c r="E20" s="25" t="n">
        <v>529</v>
      </c>
      <c r="F20" s="18" t="n">
        <f aca="false">IF(AND(D20="",E20=""),"",'Danh mục'!$F$5+SUM($D$5:D20)-SUM($E$5:E20))</f>
        <v>-2596</v>
      </c>
      <c r="G20" s="29" t="s">
        <v>120</v>
      </c>
      <c r="H20" s="33" t="s">
        <v>121</v>
      </c>
      <c r="I20" s="34"/>
    </row>
    <row r="21" customFormat="false" ht="15" hidden="false" customHeight="false" outlineLevel="0" collapsed="false">
      <c r="A21" s="32" t="n">
        <v>46298</v>
      </c>
      <c r="B21" s="29" t="s">
        <v>75</v>
      </c>
      <c r="C21" s="29" t="s">
        <v>78</v>
      </c>
      <c r="D21" s="25"/>
      <c r="E21" s="25" t="n">
        <v>2700</v>
      </c>
      <c r="F21" s="18" t="n">
        <f aca="false">IF(AND(D21="",E21=""),"",'Danh mục'!$F$5+SUM($D$5:D21)-SUM($E$5:E21))</f>
        <v>-5296</v>
      </c>
      <c r="G21" s="29" t="s">
        <v>122</v>
      </c>
      <c r="H21" s="33" t="s">
        <v>123</v>
      </c>
      <c r="I21" s="34"/>
    </row>
    <row r="22" customFormat="false" ht="15" hidden="false" customHeight="false" outlineLevel="0" collapsed="false">
      <c r="A22" s="32" t="n">
        <v>46298</v>
      </c>
      <c r="B22" s="29" t="s">
        <v>88</v>
      </c>
      <c r="C22" s="29" t="s">
        <v>74</v>
      </c>
      <c r="D22" s="25"/>
      <c r="E22" s="25" t="n">
        <v>3600</v>
      </c>
      <c r="F22" s="18" t="n">
        <f aca="false">IF(AND(D22="",E22=""),"",'Danh mục'!$F$5+SUM($D$5:D22)-SUM($E$5:E22))</f>
        <v>-8896</v>
      </c>
      <c r="G22" s="29" t="s">
        <v>74</v>
      </c>
      <c r="H22" s="33" t="s">
        <v>124</v>
      </c>
      <c r="I22" s="34"/>
    </row>
    <row r="23" customFormat="false" ht="15" hidden="false" customHeight="false" outlineLevel="0" collapsed="false">
      <c r="A23" s="32" t="n">
        <v>46298</v>
      </c>
      <c r="B23" s="29" t="s">
        <v>85</v>
      </c>
      <c r="C23" s="29" t="s">
        <v>74</v>
      </c>
      <c r="D23" s="25"/>
      <c r="E23" s="25" t="n">
        <v>23772</v>
      </c>
      <c r="F23" s="18" t="n">
        <f aca="false">IF(AND(D23="",E23=""),"",'Danh mục'!$F$5+SUM($D$5:D23)-SUM($E$5:E23))</f>
        <v>-32668</v>
      </c>
      <c r="G23" s="29" t="s">
        <v>125</v>
      </c>
      <c r="H23" s="33" t="s">
        <v>126</v>
      </c>
      <c r="I23" s="34" t="s">
        <v>111</v>
      </c>
    </row>
    <row r="24" customFormat="false" ht="15" hidden="false" customHeight="false" outlineLevel="0" collapsed="false">
      <c r="A24" s="35" t="n">
        <v>46299</v>
      </c>
      <c r="B24" s="36" t="s">
        <v>71</v>
      </c>
      <c r="C24" s="36" t="s">
        <v>70</v>
      </c>
      <c r="D24" s="37" t="n">
        <v>300000</v>
      </c>
      <c r="E24" s="37"/>
      <c r="F24" s="38" t="n">
        <f aca="false">IF(AND(D24="",E24=""),"",'Danh mục'!$F$5+SUM($D$5:D24)-SUM($E$5:E24))</f>
        <v>267332</v>
      </c>
      <c r="G24" s="36"/>
      <c r="H24" s="39" t="s">
        <v>127</v>
      </c>
      <c r="I24" s="40" t="s">
        <v>128</v>
      </c>
    </row>
    <row r="25" customFormat="false" ht="15" hidden="false" customHeight="false" outlineLevel="0" collapsed="false">
      <c r="A25" s="32" t="n">
        <v>46299</v>
      </c>
      <c r="B25" s="29" t="s">
        <v>75</v>
      </c>
      <c r="C25" s="29" t="s">
        <v>86</v>
      </c>
      <c r="D25" s="25"/>
      <c r="E25" s="25" t="n">
        <v>2226</v>
      </c>
      <c r="F25" s="18" t="n">
        <f aca="false">IF(AND(D25="",E25=""),"",'Danh mục'!$F$5+SUM($D$5:D25)-SUM($E$5:E25))</f>
        <v>265106</v>
      </c>
      <c r="G25" s="29"/>
      <c r="H25" s="33" t="s">
        <v>129</v>
      </c>
      <c r="I25" s="34" t="s">
        <v>130</v>
      </c>
    </row>
    <row r="26" customFormat="false" ht="15" hidden="false" customHeight="false" outlineLevel="0" collapsed="false">
      <c r="A26" s="32" t="n">
        <v>46299</v>
      </c>
      <c r="B26" s="29" t="s">
        <v>75</v>
      </c>
      <c r="C26" s="29" t="s">
        <v>86</v>
      </c>
      <c r="D26" s="25"/>
      <c r="E26" s="25" t="n">
        <v>2000</v>
      </c>
      <c r="F26" s="18" t="n">
        <f aca="false">IF(AND(D26="",E26=""),"",'Danh mục'!$F$5+SUM($D$5:D26)-SUM($E$5:E26))</f>
        <v>263106</v>
      </c>
      <c r="G26" s="29"/>
      <c r="H26" s="33" t="s">
        <v>131</v>
      </c>
      <c r="I26" s="34" t="s">
        <v>130</v>
      </c>
    </row>
    <row r="27" customFormat="false" ht="15" hidden="false" customHeight="false" outlineLevel="0" collapsed="false">
      <c r="A27" s="32" t="n">
        <v>46299</v>
      </c>
      <c r="B27" s="29" t="s">
        <v>71</v>
      </c>
      <c r="C27" s="29" t="s">
        <v>78</v>
      </c>
      <c r="D27" s="25"/>
      <c r="E27" s="25" t="n">
        <v>4600</v>
      </c>
      <c r="F27" s="18" t="n">
        <f aca="false">IF(AND(D27="",E27=""),"",'Danh mục'!$F$5+SUM($D$5:D27)-SUM($E$5:E27))</f>
        <v>258506</v>
      </c>
      <c r="G27" s="29" t="s">
        <v>132</v>
      </c>
      <c r="H27" s="33" t="s">
        <v>133</v>
      </c>
      <c r="I27" s="34" t="s">
        <v>134</v>
      </c>
    </row>
    <row r="28" customFormat="false" ht="15" hidden="false" customHeight="false" outlineLevel="0" collapsed="false">
      <c r="A28" s="32" t="n">
        <v>46300</v>
      </c>
      <c r="B28" s="29" t="s">
        <v>71</v>
      </c>
      <c r="C28" s="29" t="s">
        <v>81</v>
      </c>
      <c r="D28" s="25"/>
      <c r="E28" s="25" t="n">
        <v>20000</v>
      </c>
      <c r="F28" s="18" t="n">
        <f aca="false">IF(AND(D28="",E28=""),"",'Danh mục'!$F$5+SUM($D$5:D28)-SUM($E$5:E28))</f>
        <v>238506</v>
      </c>
      <c r="G28" s="29" t="s">
        <v>135</v>
      </c>
      <c r="H28" s="33" t="s">
        <v>136</v>
      </c>
      <c r="I28" s="34"/>
    </row>
    <row r="29" customFormat="false" ht="15" hidden="false" customHeight="false" outlineLevel="0" collapsed="false">
      <c r="A29" s="32" t="n">
        <v>46300</v>
      </c>
      <c r="B29" s="29" t="s">
        <v>75</v>
      </c>
      <c r="C29" s="29" t="s">
        <v>86</v>
      </c>
      <c r="D29" s="25"/>
      <c r="E29" s="25" t="n">
        <v>1500</v>
      </c>
      <c r="F29" s="18" t="n">
        <f aca="false">IF(AND(D29="",E29=""),"",'Danh mục'!$F$5+SUM($D$5:D29)-SUM($E$5:E29))</f>
        <v>237006</v>
      </c>
      <c r="G29" s="29"/>
      <c r="H29" s="33" t="s">
        <v>137</v>
      </c>
      <c r="I29" s="34" t="s">
        <v>138</v>
      </c>
    </row>
    <row r="30" customFormat="false" ht="15" hidden="false" customHeight="false" outlineLevel="0" collapsed="false">
      <c r="A30" s="32" t="n">
        <v>46300</v>
      </c>
      <c r="B30" s="29" t="s">
        <v>75</v>
      </c>
      <c r="C30" s="29" t="s">
        <v>86</v>
      </c>
      <c r="D30" s="25"/>
      <c r="E30" s="25" t="n">
        <v>1000</v>
      </c>
      <c r="F30" s="18" t="n">
        <f aca="false">IF(AND(D30="",E30=""),"",'Danh mục'!$F$5+SUM($D$5:D30)-SUM($E$5:E30))</f>
        <v>236006</v>
      </c>
      <c r="G30" s="29"/>
      <c r="H30" s="33" t="s">
        <v>139</v>
      </c>
      <c r="I30" s="34" t="s">
        <v>138</v>
      </c>
    </row>
    <row r="31" customFormat="false" ht="15" hidden="false" customHeight="false" outlineLevel="0" collapsed="false">
      <c r="A31" s="32"/>
      <c r="B31" s="29"/>
      <c r="C31" s="29"/>
      <c r="D31" s="25"/>
      <c r="E31" s="25"/>
      <c r="F31" s="18" t="str">
        <f aca="false">IF(AND(D31="",E31=""),"",'Danh mục'!$F$5+SUM($D$5:D31)-SUM($E$5:E31))</f>
        <v/>
      </c>
      <c r="G31" s="29"/>
      <c r="H31" s="33"/>
      <c r="I31" s="34"/>
    </row>
    <row r="32" customFormat="false" ht="15" hidden="false" customHeight="false" outlineLevel="0" collapsed="false">
      <c r="A32" s="32"/>
      <c r="B32" s="29"/>
      <c r="C32" s="29"/>
      <c r="D32" s="25"/>
      <c r="E32" s="25"/>
      <c r="F32" s="18" t="str">
        <f aca="false">IF(AND(D32="",E32=""),"",'Danh mục'!$F$5+SUM($D$5:D32)-SUM($E$5:E32))</f>
        <v/>
      </c>
      <c r="G32" s="29"/>
      <c r="H32" s="33"/>
      <c r="I32" s="34"/>
    </row>
    <row r="33" customFormat="false" ht="15" hidden="false" customHeight="false" outlineLevel="0" collapsed="false">
      <c r="A33" s="32"/>
      <c r="B33" s="29"/>
      <c r="C33" s="29"/>
      <c r="D33" s="25"/>
      <c r="E33" s="25"/>
      <c r="F33" s="18" t="str">
        <f aca="false">IF(AND(D33="",E33=""),"",'Danh mục'!$F$5+SUM($D$5:D33)-SUM($E$5:E33))</f>
        <v/>
      </c>
      <c r="G33" s="29"/>
      <c r="H33" s="33"/>
      <c r="I33" s="34"/>
    </row>
    <row r="34" customFormat="false" ht="15" hidden="false" customHeight="false" outlineLevel="0" collapsed="false">
      <c r="A34" s="32"/>
      <c r="B34" s="29"/>
      <c r="C34" s="29"/>
      <c r="D34" s="25"/>
      <c r="E34" s="25"/>
      <c r="F34" s="18" t="str">
        <f aca="false">IF(AND(D34="",E34=""),"",'Danh mục'!$F$5+SUM($D$5:D34)-SUM($E$5:E34))</f>
        <v/>
      </c>
      <c r="G34" s="29"/>
      <c r="H34" s="33"/>
      <c r="I34" s="34"/>
    </row>
    <row r="35" customFormat="false" ht="15" hidden="false" customHeight="false" outlineLevel="0" collapsed="false">
      <c r="A35" s="32"/>
      <c r="B35" s="29"/>
      <c r="C35" s="29"/>
      <c r="D35" s="25"/>
      <c r="E35" s="25"/>
      <c r="F35" s="18" t="str">
        <f aca="false">IF(AND(D35="",E35=""),"",'Danh mục'!$F$5+SUM($D$5:D35)-SUM($E$5:E35))</f>
        <v/>
      </c>
      <c r="G35" s="29"/>
      <c r="H35" s="33"/>
      <c r="I35" s="34"/>
    </row>
    <row r="36" customFormat="false" ht="15" hidden="false" customHeight="false" outlineLevel="0" collapsed="false">
      <c r="A36" s="32"/>
      <c r="B36" s="29"/>
      <c r="C36" s="29"/>
      <c r="D36" s="25"/>
      <c r="E36" s="25"/>
      <c r="F36" s="18" t="str">
        <f aca="false">IF(AND(D36="",E36=""),"",'Danh mục'!$F$5+SUM($D$5:D36)-SUM($E$5:E36))</f>
        <v/>
      </c>
      <c r="G36" s="29"/>
      <c r="H36" s="33"/>
      <c r="I36" s="34"/>
    </row>
    <row r="37" customFormat="false" ht="15" hidden="false" customHeight="false" outlineLevel="0" collapsed="false">
      <c r="A37" s="32"/>
      <c r="B37" s="29"/>
      <c r="C37" s="29"/>
      <c r="D37" s="25"/>
      <c r="E37" s="25"/>
      <c r="F37" s="18" t="str">
        <f aca="false">IF(AND(D37="",E37=""),"",'Danh mục'!$F$5+SUM($D$5:D37)-SUM($E$5:E37))</f>
        <v/>
      </c>
      <c r="G37" s="29"/>
      <c r="H37" s="33"/>
      <c r="I37" s="34"/>
    </row>
    <row r="38" customFormat="false" ht="15" hidden="false" customHeight="false" outlineLevel="0" collapsed="false">
      <c r="A38" s="32"/>
      <c r="B38" s="29"/>
      <c r="C38" s="29"/>
      <c r="D38" s="25"/>
      <c r="E38" s="25"/>
      <c r="F38" s="18" t="str">
        <f aca="false">IF(AND(D38="",E38=""),"",'Danh mục'!$F$5+SUM($D$5:D38)-SUM($E$5:E38))</f>
        <v/>
      </c>
      <c r="G38" s="29"/>
      <c r="H38" s="33"/>
      <c r="I38" s="34"/>
    </row>
    <row r="39" customFormat="false" ht="15" hidden="false" customHeight="false" outlineLevel="0" collapsed="false">
      <c r="A39" s="32"/>
      <c r="B39" s="29"/>
      <c r="C39" s="29"/>
      <c r="D39" s="25"/>
      <c r="E39" s="25"/>
      <c r="F39" s="18" t="str">
        <f aca="false">IF(AND(D39="",E39=""),"",'Danh mục'!$F$5+SUM($D$5:D39)-SUM($E$5:E39))</f>
        <v/>
      </c>
      <c r="G39" s="29"/>
      <c r="H39" s="33"/>
      <c r="I39" s="34"/>
    </row>
    <row r="40" customFormat="false" ht="15" hidden="false" customHeight="false" outlineLevel="0" collapsed="false">
      <c r="A40" s="32"/>
      <c r="B40" s="29"/>
      <c r="C40" s="29"/>
      <c r="D40" s="25"/>
      <c r="E40" s="25"/>
      <c r="F40" s="18" t="str">
        <f aca="false">IF(AND(D40="",E40=""),"",'Danh mục'!$F$5+SUM($D$5:D40)-SUM($E$5:E40))</f>
        <v/>
      </c>
      <c r="G40" s="29"/>
      <c r="H40" s="33"/>
      <c r="I40" s="34"/>
    </row>
    <row r="41" customFormat="false" ht="15" hidden="false" customHeight="false" outlineLevel="0" collapsed="false">
      <c r="A41" s="32"/>
      <c r="B41" s="29"/>
      <c r="C41" s="29"/>
      <c r="D41" s="25"/>
      <c r="E41" s="25"/>
      <c r="F41" s="18" t="str">
        <f aca="false">IF(AND(D41="",E41=""),"",'Danh mục'!$F$5+SUM($D$5:D41)-SUM($E$5:E41))</f>
        <v/>
      </c>
      <c r="G41" s="29"/>
      <c r="H41" s="33"/>
      <c r="I41" s="34"/>
    </row>
    <row r="42" customFormat="false" ht="15" hidden="false" customHeight="false" outlineLevel="0" collapsed="false">
      <c r="A42" s="32"/>
      <c r="B42" s="29"/>
      <c r="C42" s="29"/>
      <c r="D42" s="25"/>
      <c r="E42" s="25"/>
      <c r="F42" s="18" t="str">
        <f aca="false">IF(AND(D42="",E42=""),"",'Danh mục'!$F$5+SUM($D$5:D42)-SUM($E$5:E42))</f>
        <v/>
      </c>
      <c r="G42" s="29"/>
      <c r="H42" s="33"/>
      <c r="I42" s="34"/>
    </row>
    <row r="43" customFormat="false" ht="15" hidden="false" customHeight="false" outlineLevel="0" collapsed="false">
      <c r="A43" s="32"/>
      <c r="B43" s="29"/>
      <c r="C43" s="29"/>
      <c r="D43" s="25"/>
      <c r="E43" s="25"/>
      <c r="F43" s="18" t="str">
        <f aca="false">IF(AND(D43="",E43=""),"",'Danh mục'!$F$5+SUM($D$5:D43)-SUM($E$5:E43))</f>
        <v/>
      </c>
      <c r="G43" s="29"/>
      <c r="H43" s="33"/>
      <c r="I43" s="34"/>
    </row>
    <row r="44" customFormat="false" ht="15" hidden="false" customHeight="false" outlineLevel="0" collapsed="false">
      <c r="A44" s="32"/>
      <c r="B44" s="29"/>
      <c r="C44" s="29"/>
      <c r="D44" s="25"/>
      <c r="E44" s="25"/>
      <c r="F44" s="18" t="str">
        <f aca="false">IF(AND(D44="",E44=""),"",'Danh mục'!$F$5+SUM($D$5:D44)-SUM($E$5:E44))</f>
        <v/>
      </c>
      <c r="G44" s="29"/>
      <c r="H44" s="33"/>
      <c r="I44" s="34"/>
    </row>
    <row r="45" customFormat="false" ht="15" hidden="false" customHeight="false" outlineLevel="0" collapsed="false">
      <c r="A45" s="32"/>
      <c r="B45" s="29"/>
      <c r="C45" s="29"/>
      <c r="D45" s="25"/>
      <c r="E45" s="25"/>
      <c r="F45" s="18" t="str">
        <f aca="false">IF(AND(D45="",E45=""),"",'Danh mục'!$F$5+SUM($D$5:D45)-SUM($E$5:E45))</f>
        <v/>
      </c>
      <c r="G45" s="29"/>
      <c r="H45" s="33"/>
      <c r="I45" s="34"/>
    </row>
    <row r="46" customFormat="false" ht="15" hidden="false" customHeight="false" outlineLevel="0" collapsed="false">
      <c r="A46" s="32"/>
      <c r="B46" s="29"/>
      <c r="C46" s="29"/>
      <c r="D46" s="25"/>
      <c r="E46" s="25"/>
      <c r="F46" s="18" t="str">
        <f aca="false">IF(AND(D46="",E46=""),"",'Danh mục'!$F$5+SUM($D$5:D46)-SUM($E$5:E46))</f>
        <v/>
      </c>
      <c r="G46" s="29"/>
      <c r="H46" s="33"/>
      <c r="I46" s="34"/>
    </row>
    <row r="47" customFormat="false" ht="15" hidden="false" customHeight="false" outlineLevel="0" collapsed="false">
      <c r="A47" s="32"/>
      <c r="B47" s="29"/>
      <c r="C47" s="29"/>
      <c r="D47" s="25"/>
      <c r="E47" s="25"/>
      <c r="F47" s="18" t="str">
        <f aca="false">IF(AND(D47="",E47=""),"",'Danh mục'!$F$5+SUM($D$5:D47)-SUM($E$5:E47))</f>
        <v/>
      </c>
      <c r="G47" s="29"/>
      <c r="H47" s="33"/>
      <c r="I47" s="34"/>
    </row>
    <row r="48" customFormat="false" ht="15" hidden="false" customHeight="false" outlineLevel="0" collapsed="false">
      <c r="A48" s="32"/>
      <c r="B48" s="29"/>
      <c r="C48" s="29"/>
      <c r="D48" s="25"/>
      <c r="E48" s="25"/>
      <c r="F48" s="18" t="str">
        <f aca="false">IF(AND(D48="",E48=""),"",'Danh mục'!$F$5+SUM($D$5:D48)-SUM($E$5:E48))</f>
        <v/>
      </c>
      <c r="G48" s="29"/>
      <c r="H48" s="33"/>
      <c r="I48" s="34"/>
    </row>
    <row r="49" customFormat="false" ht="15" hidden="false" customHeight="false" outlineLevel="0" collapsed="false">
      <c r="A49" s="32"/>
      <c r="B49" s="29"/>
      <c r="C49" s="29"/>
      <c r="D49" s="25"/>
      <c r="E49" s="25"/>
      <c r="F49" s="18" t="str">
        <f aca="false">IF(AND(D49="",E49=""),"",'Danh mục'!$F$5+SUM($D$5:D49)-SUM($E$5:E49))</f>
        <v/>
      </c>
      <c r="G49" s="29"/>
      <c r="H49" s="33"/>
      <c r="I49" s="34"/>
    </row>
    <row r="50" customFormat="false" ht="15" hidden="false" customHeight="false" outlineLevel="0" collapsed="false">
      <c r="A50" s="32"/>
      <c r="B50" s="29"/>
      <c r="C50" s="29"/>
      <c r="D50" s="25"/>
      <c r="E50" s="25"/>
      <c r="F50" s="18" t="str">
        <f aca="false">IF(AND(D50="",E50=""),"",'Danh mục'!$F$5+SUM($D$5:D50)-SUM($E$5:E50))</f>
        <v/>
      </c>
      <c r="G50" s="29"/>
      <c r="H50" s="33"/>
      <c r="I50" s="34"/>
    </row>
    <row r="51" customFormat="false" ht="15" hidden="false" customHeight="false" outlineLevel="0" collapsed="false">
      <c r="A51" s="32"/>
      <c r="B51" s="29"/>
      <c r="C51" s="29"/>
      <c r="D51" s="25"/>
      <c r="E51" s="25"/>
      <c r="F51" s="18" t="str">
        <f aca="false">IF(AND(D51="",E51=""),"",'Danh mục'!$F$5+SUM($D$5:D51)-SUM($E$5:E51))</f>
        <v/>
      </c>
      <c r="G51" s="29"/>
      <c r="H51" s="33"/>
      <c r="I51" s="34"/>
    </row>
    <row r="52" customFormat="false" ht="15" hidden="false" customHeight="false" outlineLevel="0" collapsed="false">
      <c r="A52" s="32"/>
      <c r="B52" s="29"/>
      <c r="C52" s="29"/>
      <c r="D52" s="25"/>
      <c r="E52" s="25"/>
      <c r="F52" s="18" t="str">
        <f aca="false">IF(AND(D52="",E52=""),"",'Danh mục'!$F$5+SUM($D$5:D52)-SUM($E$5:E52))</f>
        <v/>
      </c>
      <c r="G52" s="29"/>
      <c r="H52" s="33"/>
      <c r="I52" s="34"/>
    </row>
    <row r="53" customFormat="false" ht="15" hidden="false" customHeight="false" outlineLevel="0" collapsed="false">
      <c r="A53" s="32"/>
      <c r="B53" s="29"/>
      <c r="C53" s="29"/>
      <c r="D53" s="25"/>
      <c r="E53" s="25"/>
      <c r="F53" s="18" t="str">
        <f aca="false">IF(AND(D53="",E53=""),"",'Danh mục'!$F$5+SUM($D$5:D53)-SUM($E$5:E53))</f>
        <v/>
      </c>
      <c r="G53" s="29"/>
      <c r="H53" s="33"/>
      <c r="I53" s="34"/>
    </row>
    <row r="54" customFormat="false" ht="15" hidden="false" customHeight="false" outlineLevel="0" collapsed="false">
      <c r="A54" s="32"/>
      <c r="B54" s="29"/>
      <c r="C54" s="29"/>
      <c r="D54" s="25"/>
      <c r="E54" s="25"/>
      <c r="F54" s="18" t="str">
        <f aca="false">IF(AND(D54="",E54=""),"",'Danh mục'!$F$5+SUM($D$5:D54)-SUM($E$5:E54))</f>
        <v/>
      </c>
      <c r="G54" s="29"/>
      <c r="H54" s="33"/>
      <c r="I54" s="34"/>
    </row>
    <row r="55" customFormat="false" ht="15" hidden="false" customHeight="false" outlineLevel="0" collapsed="false">
      <c r="A55" s="32"/>
      <c r="B55" s="29"/>
      <c r="C55" s="29"/>
      <c r="D55" s="25"/>
      <c r="E55" s="25"/>
      <c r="F55" s="18" t="str">
        <f aca="false">IF(AND(D55="",E55=""),"",'Danh mục'!$F$5+SUM($D$5:D55)-SUM($E$5:E55))</f>
        <v/>
      </c>
      <c r="G55" s="29"/>
      <c r="H55" s="33"/>
      <c r="I55" s="34"/>
    </row>
    <row r="56" customFormat="false" ht="15" hidden="false" customHeight="false" outlineLevel="0" collapsed="false">
      <c r="A56" s="32"/>
      <c r="B56" s="29"/>
      <c r="C56" s="29"/>
      <c r="D56" s="25"/>
      <c r="E56" s="25"/>
      <c r="F56" s="18" t="str">
        <f aca="false">IF(AND(D56="",E56=""),"",'Danh mục'!$F$5+SUM($D$5:D56)-SUM($E$5:E56))</f>
        <v/>
      </c>
      <c r="G56" s="29"/>
      <c r="H56" s="33"/>
      <c r="I56" s="34"/>
    </row>
    <row r="57" customFormat="false" ht="15" hidden="false" customHeight="false" outlineLevel="0" collapsed="false">
      <c r="A57" s="32"/>
      <c r="B57" s="29"/>
      <c r="C57" s="29"/>
      <c r="D57" s="25"/>
      <c r="E57" s="25"/>
      <c r="F57" s="18" t="str">
        <f aca="false">IF(AND(D57="",E57=""),"",'Danh mục'!$F$5+SUM($D$5:D57)-SUM($E$5:E57))</f>
        <v/>
      </c>
      <c r="G57" s="29"/>
      <c r="H57" s="33"/>
      <c r="I57" s="34"/>
    </row>
    <row r="58" customFormat="false" ht="15" hidden="false" customHeight="false" outlineLevel="0" collapsed="false">
      <c r="A58" s="32"/>
      <c r="B58" s="29"/>
      <c r="C58" s="29"/>
      <c r="D58" s="25"/>
      <c r="E58" s="25"/>
      <c r="F58" s="18" t="str">
        <f aca="false">IF(AND(D58="",E58=""),"",'Danh mục'!$F$5+SUM($D$5:D58)-SUM($E$5:E58))</f>
        <v/>
      </c>
      <c r="G58" s="29"/>
      <c r="H58" s="33"/>
      <c r="I58" s="34"/>
    </row>
    <row r="59" customFormat="false" ht="15" hidden="false" customHeight="false" outlineLevel="0" collapsed="false">
      <c r="A59" s="32"/>
      <c r="B59" s="29"/>
      <c r="C59" s="29"/>
      <c r="D59" s="25"/>
      <c r="E59" s="25"/>
      <c r="F59" s="18" t="str">
        <f aca="false">IF(AND(D59="",E59=""),"",'Danh mục'!$F$5+SUM($D$5:D59)-SUM($E$5:E59))</f>
        <v/>
      </c>
      <c r="G59" s="29"/>
      <c r="H59" s="33"/>
      <c r="I59" s="34"/>
    </row>
    <row r="60" customFormat="false" ht="15" hidden="false" customHeight="false" outlineLevel="0" collapsed="false">
      <c r="A60" s="32"/>
      <c r="B60" s="29"/>
      <c r="C60" s="29"/>
      <c r="D60" s="25"/>
      <c r="E60" s="25"/>
      <c r="F60" s="18" t="str">
        <f aca="false">IF(AND(D60="",E60=""),"",'Danh mục'!$F$5+SUM($D$5:D60)-SUM($E$5:E60))</f>
        <v/>
      </c>
      <c r="G60" s="29"/>
      <c r="H60" s="33"/>
      <c r="I60" s="34"/>
    </row>
    <row r="61" customFormat="false" ht="15" hidden="false" customHeight="false" outlineLevel="0" collapsed="false">
      <c r="A61" s="32"/>
      <c r="B61" s="29"/>
      <c r="C61" s="29"/>
      <c r="D61" s="25"/>
      <c r="E61" s="25"/>
      <c r="F61" s="18" t="str">
        <f aca="false">IF(AND(D61="",E61=""),"",'Danh mục'!$F$5+SUM($D$5:D61)-SUM($E$5:E61))</f>
        <v/>
      </c>
      <c r="G61" s="29"/>
      <c r="H61" s="33"/>
      <c r="I61" s="34"/>
    </row>
    <row r="62" customFormat="false" ht="15" hidden="false" customHeight="false" outlineLevel="0" collapsed="false">
      <c r="A62" s="32"/>
      <c r="B62" s="29"/>
      <c r="C62" s="29"/>
      <c r="D62" s="25"/>
      <c r="E62" s="25"/>
      <c r="F62" s="18" t="str">
        <f aca="false">IF(AND(D62="",E62=""),"",'Danh mục'!$F$5+SUM($D$5:D62)-SUM($E$5:E62))</f>
        <v/>
      </c>
      <c r="G62" s="29"/>
      <c r="H62" s="33"/>
      <c r="I62" s="34"/>
    </row>
    <row r="63" customFormat="false" ht="15" hidden="false" customHeight="false" outlineLevel="0" collapsed="false">
      <c r="A63" s="32"/>
      <c r="B63" s="29"/>
      <c r="C63" s="29"/>
      <c r="D63" s="25"/>
      <c r="E63" s="25"/>
      <c r="F63" s="18" t="str">
        <f aca="false">IF(AND(D63="",E63=""),"",'Danh mục'!$F$5+SUM($D$5:D63)-SUM($E$5:E63))</f>
        <v/>
      </c>
      <c r="G63" s="29"/>
      <c r="H63" s="33"/>
      <c r="I63" s="34"/>
    </row>
    <row r="64" customFormat="false" ht="15" hidden="false" customHeight="false" outlineLevel="0" collapsed="false">
      <c r="A64" s="32"/>
      <c r="B64" s="29"/>
      <c r="C64" s="29"/>
      <c r="D64" s="25"/>
      <c r="E64" s="25"/>
      <c r="F64" s="18" t="str">
        <f aca="false">IF(AND(D64="",E64=""),"",'Danh mục'!$F$5+SUM($D$5:D64)-SUM($E$5:E64))</f>
        <v/>
      </c>
      <c r="G64" s="29"/>
      <c r="H64" s="33"/>
      <c r="I64" s="34"/>
    </row>
    <row r="65" customFormat="false" ht="15" hidden="false" customHeight="false" outlineLevel="0" collapsed="false">
      <c r="A65" s="32"/>
      <c r="B65" s="29"/>
      <c r="C65" s="29"/>
      <c r="D65" s="25"/>
      <c r="E65" s="25"/>
      <c r="F65" s="18" t="str">
        <f aca="false">IF(AND(D65="",E65=""),"",'Danh mục'!$F$5+SUM($D$5:D65)-SUM($E$5:E65))</f>
        <v/>
      </c>
      <c r="G65" s="29"/>
      <c r="H65" s="33"/>
      <c r="I65" s="34"/>
    </row>
    <row r="66" customFormat="false" ht="15" hidden="false" customHeight="false" outlineLevel="0" collapsed="false">
      <c r="A66" s="32"/>
      <c r="B66" s="29"/>
      <c r="C66" s="29"/>
      <c r="D66" s="25"/>
      <c r="E66" s="25"/>
      <c r="F66" s="18" t="str">
        <f aca="false">IF(AND(D66="",E66=""),"",'Danh mục'!$F$5+SUM($D$5:D66)-SUM($E$5:E66))</f>
        <v/>
      </c>
      <c r="G66" s="29"/>
      <c r="H66" s="33"/>
      <c r="I66" s="34"/>
    </row>
    <row r="67" customFormat="false" ht="15" hidden="false" customHeight="false" outlineLevel="0" collapsed="false">
      <c r="A67" s="32"/>
      <c r="B67" s="29"/>
      <c r="C67" s="29"/>
      <c r="D67" s="25"/>
      <c r="E67" s="25"/>
      <c r="F67" s="18" t="str">
        <f aca="false">IF(AND(D67="",E67=""),"",'Danh mục'!$F$5+SUM($D$5:D67)-SUM($E$5:E67))</f>
        <v/>
      </c>
      <c r="G67" s="29"/>
      <c r="H67" s="33"/>
      <c r="I67" s="34"/>
    </row>
    <row r="68" customFormat="false" ht="15" hidden="false" customHeight="false" outlineLevel="0" collapsed="false">
      <c r="A68" s="32"/>
      <c r="B68" s="29"/>
      <c r="C68" s="29"/>
      <c r="D68" s="25"/>
      <c r="E68" s="25"/>
      <c r="F68" s="18" t="str">
        <f aca="false">IF(AND(D68="",E68=""),"",'Danh mục'!$F$5+SUM($D$5:D68)-SUM($E$5:E68))</f>
        <v/>
      </c>
      <c r="G68" s="29"/>
      <c r="H68" s="33"/>
      <c r="I68" s="34"/>
    </row>
    <row r="69" customFormat="false" ht="15" hidden="false" customHeight="false" outlineLevel="0" collapsed="false">
      <c r="A69" s="32"/>
      <c r="B69" s="29"/>
      <c r="C69" s="29"/>
      <c r="D69" s="25"/>
      <c r="E69" s="25"/>
      <c r="F69" s="18" t="str">
        <f aca="false">IF(AND(D69="",E69=""),"",'Danh mục'!$F$5+SUM($D$5:D69)-SUM($E$5:E69))</f>
        <v/>
      </c>
      <c r="G69" s="29"/>
      <c r="H69" s="33"/>
      <c r="I69" s="34"/>
    </row>
    <row r="70" customFormat="false" ht="15" hidden="false" customHeight="false" outlineLevel="0" collapsed="false">
      <c r="A70" s="32"/>
      <c r="B70" s="29"/>
      <c r="C70" s="29"/>
      <c r="D70" s="25"/>
      <c r="E70" s="25"/>
      <c r="F70" s="18" t="str">
        <f aca="false">IF(AND(D70="",E70=""),"",'Danh mục'!$F$5+SUM($D$5:D70)-SUM($E$5:E70))</f>
        <v/>
      </c>
      <c r="G70" s="29"/>
      <c r="H70" s="33"/>
      <c r="I70" s="34"/>
    </row>
    <row r="71" customFormat="false" ht="15" hidden="false" customHeight="false" outlineLevel="0" collapsed="false">
      <c r="A71" s="32"/>
      <c r="B71" s="29"/>
      <c r="C71" s="29"/>
      <c r="D71" s="25"/>
      <c r="E71" s="25"/>
      <c r="F71" s="18" t="str">
        <f aca="false">IF(AND(D71="",E71=""),"",'Danh mục'!$F$5+SUM($D$5:D71)-SUM($E$5:E71))</f>
        <v/>
      </c>
      <c r="G71" s="29"/>
      <c r="H71" s="33"/>
      <c r="I71" s="34"/>
    </row>
    <row r="72" customFormat="false" ht="15" hidden="false" customHeight="false" outlineLevel="0" collapsed="false">
      <c r="A72" s="32"/>
      <c r="B72" s="29"/>
      <c r="C72" s="29"/>
      <c r="D72" s="25"/>
      <c r="E72" s="25"/>
      <c r="F72" s="18" t="str">
        <f aca="false">IF(AND(D72="",E72=""),"",'Danh mục'!$F$5+SUM($D$5:D72)-SUM($E$5:E72))</f>
        <v/>
      </c>
      <c r="G72" s="29"/>
      <c r="H72" s="33"/>
      <c r="I72" s="34"/>
    </row>
    <row r="73" customFormat="false" ht="15" hidden="false" customHeight="false" outlineLevel="0" collapsed="false">
      <c r="A73" s="32"/>
      <c r="B73" s="29"/>
      <c r="C73" s="29"/>
      <c r="D73" s="25"/>
      <c r="E73" s="25"/>
      <c r="F73" s="18" t="str">
        <f aca="false">IF(AND(D73="",E73=""),"",'Danh mục'!$F$5+SUM($D$5:D73)-SUM($E$5:E73))</f>
        <v/>
      </c>
      <c r="G73" s="29"/>
      <c r="H73" s="33"/>
      <c r="I73" s="34"/>
    </row>
    <row r="74" customFormat="false" ht="15" hidden="false" customHeight="false" outlineLevel="0" collapsed="false">
      <c r="A74" s="32"/>
      <c r="B74" s="29"/>
      <c r="C74" s="29"/>
      <c r="D74" s="25"/>
      <c r="E74" s="25"/>
      <c r="F74" s="18" t="str">
        <f aca="false">IF(AND(D74="",E74=""),"",'Danh mục'!$F$5+SUM($D$5:D74)-SUM($E$5:E74))</f>
        <v/>
      </c>
      <c r="G74" s="29"/>
      <c r="H74" s="33"/>
      <c r="I74" s="34"/>
    </row>
    <row r="75" customFormat="false" ht="15" hidden="false" customHeight="false" outlineLevel="0" collapsed="false">
      <c r="A75" s="32"/>
      <c r="B75" s="29"/>
      <c r="C75" s="29"/>
      <c r="D75" s="25"/>
      <c r="E75" s="25"/>
      <c r="F75" s="18" t="str">
        <f aca="false">IF(AND(D75="",E75=""),"",'Danh mục'!$F$5+SUM($D$5:D75)-SUM($E$5:E75))</f>
        <v/>
      </c>
      <c r="G75" s="29"/>
      <c r="H75" s="33"/>
      <c r="I75" s="34"/>
    </row>
    <row r="76" customFormat="false" ht="15" hidden="false" customHeight="false" outlineLevel="0" collapsed="false">
      <c r="A76" s="32"/>
      <c r="B76" s="29"/>
      <c r="C76" s="29"/>
      <c r="D76" s="25"/>
      <c r="E76" s="25"/>
      <c r="F76" s="18" t="str">
        <f aca="false">IF(AND(D76="",E76=""),"",'Danh mục'!$F$5+SUM($D$5:D76)-SUM($E$5:E76))</f>
        <v/>
      </c>
      <c r="G76" s="29"/>
      <c r="H76" s="33"/>
      <c r="I76" s="34"/>
    </row>
    <row r="77" customFormat="false" ht="15" hidden="false" customHeight="false" outlineLevel="0" collapsed="false">
      <c r="A77" s="32"/>
      <c r="B77" s="29"/>
      <c r="C77" s="29"/>
      <c r="D77" s="25"/>
      <c r="E77" s="25"/>
      <c r="F77" s="18" t="str">
        <f aca="false">IF(AND(D77="",E77=""),"",'Danh mục'!$F$5+SUM($D$5:D77)-SUM($E$5:E77))</f>
        <v/>
      </c>
      <c r="G77" s="29"/>
      <c r="H77" s="33"/>
      <c r="I77" s="34"/>
    </row>
    <row r="78" customFormat="false" ht="15" hidden="false" customHeight="false" outlineLevel="0" collapsed="false">
      <c r="A78" s="32"/>
      <c r="B78" s="29"/>
      <c r="C78" s="29"/>
      <c r="D78" s="25"/>
      <c r="E78" s="25"/>
      <c r="F78" s="18" t="str">
        <f aca="false">IF(AND(D78="",E78=""),"",'Danh mục'!$F$5+SUM($D$5:D78)-SUM($E$5:E78))</f>
        <v/>
      </c>
      <c r="G78" s="29"/>
      <c r="H78" s="33"/>
      <c r="I78" s="34"/>
    </row>
    <row r="79" customFormat="false" ht="15" hidden="false" customHeight="false" outlineLevel="0" collapsed="false">
      <c r="A79" s="32"/>
      <c r="B79" s="29"/>
      <c r="C79" s="29"/>
      <c r="D79" s="25"/>
      <c r="E79" s="25"/>
      <c r="F79" s="18" t="str">
        <f aca="false">IF(AND(D79="",E79=""),"",'Danh mục'!$F$5+SUM($D$5:D79)-SUM($E$5:E79))</f>
        <v/>
      </c>
      <c r="G79" s="29"/>
      <c r="H79" s="33"/>
      <c r="I79" s="34"/>
    </row>
    <row r="80" customFormat="false" ht="15" hidden="false" customHeight="false" outlineLevel="0" collapsed="false">
      <c r="A80" s="32"/>
      <c r="B80" s="29"/>
      <c r="C80" s="29"/>
      <c r="D80" s="25"/>
      <c r="E80" s="25"/>
      <c r="F80" s="18" t="str">
        <f aca="false">IF(AND(D80="",E80=""),"",'Danh mục'!$F$5+SUM($D$5:D80)-SUM($E$5:E80))</f>
        <v/>
      </c>
      <c r="G80" s="29"/>
      <c r="H80" s="33"/>
      <c r="I80" s="34"/>
    </row>
    <row r="81" customFormat="false" ht="15" hidden="false" customHeight="false" outlineLevel="0" collapsed="false">
      <c r="A81" s="32"/>
      <c r="B81" s="29"/>
      <c r="C81" s="29"/>
      <c r="D81" s="25"/>
      <c r="E81" s="25"/>
      <c r="F81" s="18" t="str">
        <f aca="false">IF(AND(D81="",E81=""),"",'Danh mục'!$F$5+SUM($D$5:D81)-SUM($E$5:E81))</f>
        <v/>
      </c>
      <c r="G81" s="29"/>
      <c r="H81" s="33"/>
      <c r="I81" s="34"/>
    </row>
    <row r="82" customFormat="false" ht="15" hidden="false" customHeight="false" outlineLevel="0" collapsed="false">
      <c r="A82" s="32"/>
      <c r="B82" s="29"/>
      <c r="C82" s="29"/>
      <c r="D82" s="25"/>
      <c r="E82" s="25"/>
      <c r="F82" s="18" t="str">
        <f aca="false">IF(AND(D82="",E82=""),"",'Danh mục'!$F$5+SUM($D$5:D82)-SUM($E$5:E82))</f>
        <v/>
      </c>
      <c r="G82" s="29"/>
      <c r="H82" s="33"/>
      <c r="I82" s="34"/>
    </row>
    <row r="83" customFormat="false" ht="15" hidden="false" customHeight="false" outlineLevel="0" collapsed="false">
      <c r="A83" s="32"/>
      <c r="B83" s="29"/>
      <c r="C83" s="29"/>
      <c r="D83" s="25"/>
      <c r="E83" s="25"/>
      <c r="F83" s="18" t="str">
        <f aca="false">IF(AND(D83="",E83=""),"",'Danh mục'!$F$5+SUM($D$5:D83)-SUM($E$5:E83))</f>
        <v/>
      </c>
      <c r="G83" s="29"/>
      <c r="H83" s="33"/>
      <c r="I83" s="34"/>
    </row>
    <row r="84" customFormat="false" ht="15" hidden="false" customHeight="false" outlineLevel="0" collapsed="false">
      <c r="A84" s="32"/>
      <c r="B84" s="29"/>
      <c r="C84" s="29"/>
      <c r="D84" s="25"/>
      <c r="E84" s="25"/>
      <c r="F84" s="18" t="str">
        <f aca="false">IF(AND(D84="",E84=""),"",'Danh mục'!$F$5+SUM($D$5:D84)-SUM($E$5:E84))</f>
        <v/>
      </c>
      <c r="G84" s="29"/>
      <c r="H84" s="33"/>
      <c r="I84" s="34"/>
    </row>
    <row r="85" customFormat="false" ht="15" hidden="false" customHeight="false" outlineLevel="0" collapsed="false">
      <c r="A85" s="32"/>
      <c r="B85" s="29"/>
      <c r="C85" s="29"/>
      <c r="D85" s="25"/>
      <c r="E85" s="25"/>
      <c r="F85" s="18" t="str">
        <f aca="false">IF(AND(D85="",E85=""),"",'Danh mục'!$F$5+SUM($D$5:D85)-SUM($E$5:E85))</f>
        <v/>
      </c>
      <c r="G85" s="29"/>
      <c r="H85" s="33"/>
      <c r="I85" s="34"/>
    </row>
    <row r="86" customFormat="false" ht="15" hidden="false" customHeight="false" outlineLevel="0" collapsed="false">
      <c r="A86" s="32"/>
      <c r="B86" s="29"/>
      <c r="C86" s="29"/>
      <c r="D86" s="25"/>
      <c r="E86" s="25"/>
      <c r="F86" s="18" t="str">
        <f aca="false">IF(AND(D86="",E86=""),"",'Danh mục'!$F$5+SUM($D$5:D86)-SUM($E$5:E86))</f>
        <v/>
      </c>
      <c r="G86" s="29"/>
      <c r="H86" s="33"/>
      <c r="I86" s="34"/>
    </row>
    <row r="87" customFormat="false" ht="15" hidden="false" customHeight="false" outlineLevel="0" collapsed="false">
      <c r="A87" s="32"/>
      <c r="B87" s="29"/>
      <c r="C87" s="29"/>
      <c r="D87" s="25"/>
      <c r="E87" s="25"/>
      <c r="F87" s="18" t="str">
        <f aca="false">IF(AND(D87="",E87=""),"",'Danh mục'!$F$5+SUM($D$5:D87)-SUM($E$5:E87))</f>
        <v/>
      </c>
      <c r="G87" s="29"/>
      <c r="H87" s="33"/>
      <c r="I87" s="34"/>
    </row>
    <row r="88" customFormat="false" ht="15" hidden="false" customHeight="false" outlineLevel="0" collapsed="false">
      <c r="A88" s="32"/>
      <c r="B88" s="29"/>
      <c r="C88" s="29"/>
      <c r="D88" s="25"/>
      <c r="E88" s="25"/>
      <c r="F88" s="18" t="str">
        <f aca="false">IF(AND(D88="",E88=""),"",'Danh mục'!$F$5+SUM($D$5:D88)-SUM($E$5:E88))</f>
        <v/>
      </c>
      <c r="G88" s="29"/>
      <c r="H88" s="33"/>
      <c r="I88" s="34"/>
    </row>
    <row r="89" customFormat="false" ht="15" hidden="false" customHeight="false" outlineLevel="0" collapsed="false">
      <c r="A89" s="32"/>
      <c r="B89" s="29"/>
      <c r="C89" s="29"/>
      <c r="D89" s="25"/>
      <c r="E89" s="25"/>
      <c r="F89" s="18" t="str">
        <f aca="false">IF(AND(D89="",E89=""),"",'Danh mục'!$F$5+SUM($D$5:D89)-SUM($E$5:E89))</f>
        <v/>
      </c>
      <c r="G89" s="29"/>
      <c r="H89" s="33"/>
      <c r="I89" s="34"/>
    </row>
    <row r="90" customFormat="false" ht="15" hidden="false" customHeight="false" outlineLevel="0" collapsed="false">
      <c r="A90" s="32"/>
      <c r="B90" s="29"/>
      <c r="C90" s="29"/>
      <c r="D90" s="25"/>
      <c r="E90" s="25"/>
      <c r="F90" s="18" t="str">
        <f aca="false">IF(AND(D90="",E90=""),"",'Danh mục'!$F$5+SUM($D$5:D90)-SUM($E$5:E90))</f>
        <v/>
      </c>
      <c r="G90" s="29"/>
      <c r="H90" s="33"/>
      <c r="I90" s="34"/>
    </row>
    <row r="91" customFormat="false" ht="15" hidden="false" customHeight="false" outlineLevel="0" collapsed="false">
      <c r="A91" s="32"/>
      <c r="B91" s="29"/>
      <c r="C91" s="29"/>
      <c r="D91" s="25"/>
      <c r="E91" s="25"/>
      <c r="F91" s="18" t="str">
        <f aca="false">IF(AND(D91="",E91=""),"",'Danh mục'!$F$5+SUM($D$5:D91)-SUM($E$5:E91))</f>
        <v/>
      </c>
      <c r="G91" s="29"/>
      <c r="H91" s="33"/>
      <c r="I91" s="34"/>
    </row>
    <row r="92" customFormat="false" ht="15" hidden="false" customHeight="false" outlineLevel="0" collapsed="false">
      <c r="A92" s="32"/>
      <c r="B92" s="29"/>
      <c r="C92" s="29"/>
      <c r="D92" s="25"/>
      <c r="E92" s="25"/>
      <c r="F92" s="18" t="str">
        <f aca="false">IF(AND(D92="",E92=""),"",'Danh mục'!$F$5+SUM($D$5:D92)-SUM($E$5:E92))</f>
        <v/>
      </c>
      <c r="G92" s="29"/>
      <c r="H92" s="33"/>
      <c r="I92" s="34"/>
    </row>
    <row r="93" customFormat="false" ht="15" hidden="false" customHeight="false" outlineLevel="0" collapsed="false">
      <c r="A93" s="32"/>
      <c r="B93" s="29"/>
      <c r="C93" s="29"/>
      <c r="D93" s="25"/>
      <c r="E93" s="25"/>
      <c r="F93" s="18" t="str">
        <f aca="false">IF(AND(D93="",E93=""),"",'Danh mục'!$F$5+SUM($D$5:D93)-SUM($E$5:E93))</f>
        <v/>
      </c>
      <c r="G93" s="29"/>
      <c r="H93" s="33"/>
      <c r="I93" s="34"/>
    </row>
    <row r="94" customFormat="false" ht="15" hidden="false" customHeight="false" outlineLevel="0" collapsed="false">
      <c r="A94" s="32"/>
      <c r="B94" s="29"/>
      <c r="C94" s="29"/>
      <c r="D94" s="25"/>
      <c r="E94" s="25"/>
      <c r="F94" s="18" t="str">
        <f aca="false">IF(AND(D94="",E94=""),"",'Danh mục'!$F$5+SUM($D$5:D94)-SUM($E$5:E94))</f>
        <v/>
      </c>
      <c r="G94" s="29"/>
      <c r="H94" s="33"/>
      <c r="I94" s="34"/>
    </row>
    <row r="95" customFormat="false" ht="15" hidden="false" customHeight="false" outlineLevel="0" collapsed="false">
      <c r="A95" s="32"/>
      <c r="B95" s="29"/>
      <c r="C95" s="29"/>
      <c r="D95" s="25"/>
      <c r="E95" s="25"/>
      <c r="F95" s="18" t="str">
        <f aca="false">IF(AND(D95="",E95=""),"",'Danh mục'!$F$5+SUM($D$5:D95)-SUM($E$5:E95))</f>
        <v/>
      </c>
      <c r="G95" s="29"/>
      <c r="H95" s="33"/>
      <c r="I95" s="34"/>
    </row>
    <row r="96" customFormat="false" ht="15" hidden="false" customHeight="false" outlineLevel="0" collapsed="false">
      <c r="A96" s="32"/>
      <c r="B96" s="29"/>
      <c r="C96" s="29"/>
      <c r="D96" s="25"/>
      <c r="E96" s="25"/>
      <c r="F96" s="18" t="str">
        <f aca="false">IF(AND(D96="",E96=""),"",'Danh mục'!$F$5+SUM($D$5:D96)-SUM($E$5:E96))</f>
        <v/>
      </c>
      <c r="G96" s="29"/>
      <c r="H96" s="33"/>
      <c r="I96" s="34"/>
    </row>
    <row r="97" customFormat="false" ht="15" hidden="false" customHeight="false" outlineLevel="0" collapsed="false">
      <c r="A97" s="32"/>
      <c r="B97" s="29"/>
      <c r="C97" s="29"/>
      <c r="D97" s="25"/>
      <c r="E97" s="25"/>
      <c r="F97" s="18" t="str">
        <f aca="false">IF(AND(D97="",E97=""),"",'Danh mục'!$F$5+SUM($D$5:D97)-SUM($E$5:E97))</f>
        <v/>
      </c>
      <c r="G97" s="29"/>
      <c r="H97" s="33"/>
      <c r="I97" s="34"/>
    </row>
    <row r="98" customFormat="false" ht="15" hidden="false" customHeight="false" outlineLevel="0" collapsed="false">
      <c r="A98" s="32"/>
      <c r="B98" s="29"/>
      <c r="C98" s="29"/>
      <c r="D98" s="25"/>
      <c r="E98" s="25"/>
      <c r="F98" s="18" t="str">
        <f aca="false">IF(AND(D98="",E98=""),"",'Danh mục'!$F$5+SUM($D$5:D98)-SUM($E$5:E98))</f>
        <v/>
      </c>
      <c r="G98" s="29"/>
      <c r="H98" s="33"/>
      <c r="I98" s="34"/>
    </row>
    <row r="99" customFormat="false" ht="15" hidden="false" customHeight="false" outlineLevel="0" collapsed="false">
      <c r="A99" s="32"/>
      <c r="B99" s="29"/>
      <c r="C99" s="29"/>
      <c r="D99" s="25"/>
      <c r="E99" s="25"/>
      <c r="F99" s="18" t="str">
        <f aca="false">IF(AND(D99="",E99=""),"",'Danh mục'!$F$5+SUM($D$5:D99)-SUM($E$5:E99))</f>
        <v/>
      </c>
      <c r="G99" s="29"/>
      <c r="H99" s="33"/>
      <c r="I99" s="34"/>
    </row>
    <row r="100" customFormat="false" ht="15" hidden="false" customHeight="false" outlineLevel="0" collapsed="false">
      <c r="A100" s="32"/>
      <c r="B100" s="29"/>
      <c r="C100" s="29"/>
      <c r="D100" s="25"/>
      <c r="E100" s="25"/>
      <c r="F100" s="18" t="str">
        <f aca="false">IF(AND(D100="",E100=""),"",'Danh mục'!$F$5+SUM($D$5:D100)-SUM($E$5:E100))</f>
        <v/>
      </c>
      <c r="G100" s="29"/>
      <c r="H100" s="33"/>
      <c r="I100" s="34"/>
    </row>
    <row r="101" customFormat="false" ht="15" hidden="false" customHeight="false" outlineLevel="0" collapsed="false">
      <c r="A101" s="32"/>
      <c r="B101" s="29"/>
      <c r="C101" s="29"/>
      <c r="D101" s="25"/>
      <c r="E101" s="25"/>
      <c r="F101" s="18" t="str">
        <f aca="false">IF(AND(D101="",E101=""),"",'Danh mục'!$F$5+SUM($D$5:D101)-SUM($E$5:E101))</f>
        <v/>
      </c>
      <c r="G101" s="29"/>
      <c r="H101" s="33"/>
      <c r="I101" s="34"/>
    </row>
    <row r="102" customFormat="false" ht="15" hidden="false" customHeight="false" outlineLevel="0" collapsed="false">
      <c r="A102" s="32"/>
      <c r="B102" s="29"/>
      <c r="C102" s="29"/>
      <c r="D102" s="25"/>
      <c r="E102" s="25"/>
      <c r="F102" s="18" t="str">
        <f aca="false">IF(AND(D102="",E102=""),"",'Danh mục'!$F$5+SUM($D$5:D102)-SUM($E$5:E102))</f>
        <v/>
      </c>
      <c r="G102" s="29"/>
      <c r="H102" s="33"/>
      <c r="I102" s="34"/>
    </row>
    <row r="103" customFormat="false" ht="15" hidden="false" customHeight="false" outlineLevel="0" collapsed="false">
      <c r="A103" s="32"/>
      <c r="B103" s="29"/>
      <c r="C103" s="29"/>
      <c r="D103" s="25"/>
      <c r="E103" s="25"/>
      <c r="F103" s="18" t="str">
        <f aca="false">IF(AND(D103="",E103=""),"",'Danh mục'!$F$5+SUM($D$5:D103)-SUM($E$5:E103))</f>
        <v/>
      </c>
      <c r="G103" s="29"/>
      <c r="H103" s="33"/>
      <c r="I103" s="34"/>
    </row>
    <row r="104" customFormat="false" ht="15" hidden="false" customHeight="false" outlineLevel="0" collapsed="false">
      <c r="A104" s="32"/>
      <c r="B104" s="29"/>
      <c r="C104" s="29"/>
      <c r="D104" s="25"/>
      <c r="E104" s="25"/>
      <c r="F104" s="18" t="str">
        <f aca="false">IF(AND(D104="",E104=""),"",'Danh mục'!$F$5+SUM($D$5:D104)-SUM($E$5:E104))</f>
        <v/>
      </c>
      <c r="G104" s="29"/>
      <c r="H104" s="33"/>
      <c r="I104" s="34"/>
    </row>
    <row r="105" customFormat="false" ht="15" hidden="false" customHeight="false" outlineLevel="0" collapsed="false">
      <c r="A105" s="32"/>
      <c r="B105" s="29"/>
      <c r="C105" s="29"/>
      <c r="D105" s="25"/>
      <c r="E105" s="25"/>
      <c r="F105" s="18" t="str">
        <f aca="false">IF(AND(D105="",E105=""),"",'Danh mục'!$F$5+SUM($D$5:D105)-SUM($E$5:E105))</f>
        <v/>
      </c>
      <c r="G105" s="29"/>
      <c r="H105" s="33"/>
      <c r="I105" s="34"/>
    </row>
    <row r="106" customFormat="false" ht="15" hidden="false" customHeight="false" outlineLevel="0" collapsed="false">
      <c r="A106" s="32"/>
      <c r="B106" s="29"/>
      <c r="C106" s="29"/>
      <c r="D106" s="25"/>
      <c r="E106" s="25"/>
      <c r="F106" s="18" t="str">
        <f aca="false">IF(AND(D106="",E106=""),"",'Danh mục'!$F$5+SUM($D$5:D106)-SUM($E$5:E106))</f>
        <v/>
      </c>
      <c r="G106" s="29"/>
      <c r="H106" s="33"/>
      <c r="I106" s="34"/>
    </row>
    <row r="107" customFormat="false" ht="15" hidden="false" customHeight="false" outlineLevel="0" collapsed="false">
      <c r="A107" s="32"/>
      <c r="B107" s="29"/>
      <c r="C107" s="29"/>
      <c r="D107" s="25"/>
      <c r="E107" s="25"/>
      <c r="F107" s="18" t="str">
        <f aca="false">IF(AND(D107="",E107=""),"",'Danh mục'!$F$5+SUM($D$5:D107)-SUM($E$5:E107))</f>
        <v/>
      </c>
      <c r="G107" s="29"/>
      <c r="H107" s="33"/>
      <c r="I107" s="34"/>
    </row>
    <row r="108" customFormat="false" ht="15" hidden="false" customHeight="false" outlineLevel="0" collapsed="false">
      <c r="A108" s="32"/>
      <c r="B108" s="29"/>
      <c r="C108" s="29"/>
      <c r="D108" s="25"/>
      <c r="E108" s="25"/>
      <c r="F108" s="18" t="str">
        <f aca="false">IF(AND(D108="",E108=""),"",'Danh mục'!$F$5+SUM($D$5:D108)-SUM($E$5:E108))</f>
        <v/>
      </c>
      <c r="G108" s="29"/>
      <c r="H108" s="33"/>
      <c r="I108" s="34"/>
    </row>
    <row r="109" customFormat="false" ht="15" hidden="false" customHeight="false" outlineLevel="0" collapsed="false">
      <c r="A109" s="32"/>
      <c r="B109" s="29"/>
      <c r="C109" s="29"/>
      <c r="D109" s="25"/>
      <c r="E109" s="25"/>
      <c r="F109" s="18" t="str">
        <f aca="false">IF(AND(D109="",E109=""),"",'Danh mục'!$F$5+SUM($D$5:D109)-SUM($E$5:E109))</f>
        <v/>
      </c>
      <c r="G109" s="29"/>
      <c r="H109" s="33"/>
      <c r="I109" s="34"/>
    </row>
    <row r="110" customFormat="false" ht="15" hidden="false" customHeight="false" outlineLevel="0" collapsed="false">
      <c r="A110" s="32"/>
      <c r="B110" s="29"/>
      <c r="C110" s="29"/>
      <c r="D110" s="25"/>
      <c r="E110" s="25"/>
      <c r="F110" s="18" t="str">
        <f aca="false">IF(AND(D110="",E110=""),"",'Danh mục'!$F$5+SUM($D$5:D110)-SUM($E$5:E110))</f>
        <v/>
      </c>
      <c r="G110" s="29"/>
      <c r="H110" s="33"/>
      <c r="I110" s="34"/>
    </row>
    <row r="111" customFormat="false" ht="15" hidden="false" customHeight="false" outlineLevel="0" collapsed="false">
      <c r="A111" s="32"/>
      <c r="B111" s="29"/>
      <c r="C111" s="29"/>
      <c r="D111" s="25"/>
      <c r="E111" s="25"/>
      <c r="F111" s="18" t="str">
        <f aca="false">IF(AND(D111="",E111=""),"",'Danh mục'!$F$5+SUM($D$5:D111)-SUM($E$5:E111))</f>
        <v/>
      </c>
      <c r="G111" s="29"/>
      <c r="H111" s="33"/>
      <c r="I111" s="34"/>
    </row>
    <row r="112" customFormat="false" ht="15" hidden="false" customHeight="false" outlineLevel="0" collapsed="false">
      <c r="A112" s="32"/>
      <c r="B112" s="29"/>
      <c r="C112" s="29"/>
      <c r="D112" s="25"/>
      <c r="E112" s="25"/>
      <c r="F112" s="18" t="str">
        <f aca="false">IF(AND(D112="",E112=""),"",'Danh mục'!$F$5+SUM($D$5:D112)-SUM($E$5:E112))</f>
        <v/>
      </c>
      <c r="G112" s="29"/>
      <c r="H112" s="33"/>
      <c r="I112" s="34"/>
    </row>
    <row r="113" customFormat="false" ht="15" hidden="false" customHeight="false" outlineLevel="0" collapsed="false">
      <c r="A113" s="32"/>
      <c r="B113" s="29"/>
      <c r="C113" s="29"/>
      <c r="D113" s="25"/>
      <c r="E113" s="25"/>
      <c r="F113" s="18" t="str">
        <f aca="false">IF(AND(D113="",E113=""),"",'Danh mục'!$F$5+SUM($D$5:D113)-SUM($E$5:E113))</f>
        <v/>
      </c>
      <c r="G113" s="29"/>
      <c r="H113" s="33"/>
      <c r="I113" s="34"/>
    </row>
    <row r="114" customFormat="false" ht="15" hidden="false" customHeight="false" outlineLevel="0" collapsed="false">
      <c r="A114" s="32"/>
      <c r="B114" s="29"/>
      <c r="C114" s="29"/>
      <c r="D114" s="25"/>
      <c r="E114" s="25"/>
      <c r="F114" s="18" t="str">
        <f aca="false">IF(AND(D114="",E114=""),"",'Danh mục'!$F$5+SUM($D$5:D114)-SUM($E$5:E114))</f>
        <v/>
      </c>
      <c r="G114" s="29"/>
      <c r="H114" s="33"/>
      <c r="I114" s="34"/>
    </row>
    <row r="115" customFormat="false" ht="15" hidden="false" customHeight="false" outlineLevel="0" collapsed="false">
      <c r="A115" s="32"/>
      <c r="B115" s="29"/>
      <c r="C115" s="29"/>
      <c r="D115" s="25"/>
      <c r="E115" s="25"/>
      <c r="F115" s="18" t="str">
        <f aca="false">IF(AND(D115="",E115=""),"",'Danh mục'!$F$5+SUM($D$5:D115)-SUM($E$5:E115))</f>
        <v/>
      </c>
      <c r="G115" s="29"/>
      <c r="H115" s="33"/>
      <c r="I115" s="34"/>
    </row>
    <row r="116" customFormat="false" ht="15" hidden="false" customHeight="false" outlineLevel="0" collapsed="false">
      <c r="A116" s="32"/>
      <c r="B116" s="29"/>
      <c r="C116" s="29"/>
      <c r="D116" s="25"/>
      <c r="E116" s="25"/>
      <c r="F116" s="18" t="str">
        <f aca="false">IF(AND(D116="",E116=""),"",'Danh mục'!$F$5+SUM($D$5:D116)-SUM($E$5:E116))</f>
        <v/>
      </c>
      <c r="G116" s="29"/>
      <c r="H116" s="33"/>
      <c r="I116" s="34"/>
    </row>
    <row r="117" customFormat="false" ht="15" hidden="false" customHeight="false" outlineLevel="0" collapsed="false">
      <c r="A117" s="32"/>
      <c r="B117" s="29"/>
      <c r="C117" s="29"/>
      <c r="D117" s="25"/>
      <c r="E117" s="25"/>
      <c r="F117" s="18" t="str">
        <f aca="false">IF(AND(D117="",E117=""),"",'Danh mục'!$F$5+SUM($D$5:D117)-SUM($E$5:E117))</f>
        <v/>
      </c>
      <c r="G117" s="29"/>
      <c r="H117" s="33"/>
      <c r="I117" s="34"/>
    </row>
    <row r="118" customFormat="false" ht="15" hidden="false" customHeight="false" outlineLevel="0" collapsed="false">
      <c r="A118" s="32"/>
      <c r="B118" s="29"/>
      <c r="C118" s="29"/>
      <c r="D118" s="25"/>
      <c r="E118" s="25"/>
      <c r="F118" s="18" t="str">
        <f aca="false">IF(AND(D118="",E118=""),"",'Danh mục'!$F$5+SUM($D$5:D118)-SUM($E$5:E118))</f>
        <v/>
      </c>
      <c r="G118" s="29"/>
      <c r="H118" s="33"/>
      <c r="I118" s="34"/>
    </row>
    <row r="119" customFormat="false" ht="15" hidden="false" customHeight="false" outlineLevel="0" collapsed="false">
      <c r="A119" s="32"/>
      <c r="B119" s="29"/>
      <c r="C119" s="29"/>
      <c r="D119" s="25"/>
      <c r="E119" s="25"/>
      <c r="F119" s="18" t="str">
        <f aca="false">IF(AND(D119="",E119=""),"",'Danh mục'!$F$5+SUM($D$5:D119)-SUM($E$5:E119))</f>
        <v/>
      </c>
      <c r="G119" s="29"/>
      <c r="H119" s="33"/>
      <c r="I119" s="34"/>
    </row>
    <row r="120" customFormat="false" ht="15" hidden="false" customHeight="false" outlineLevel="0" collapsed="false">
      <c r="A120" s="32"/>
      <c r="B120" s="29"/>
      <c r="C120" s="29"/>
      <c r="D120" s="25"/>
      <c r="E120" s="25"/>
      <c r="F120" s="18" t="str">
        <f aca="false">IF(AND(D120="",E120=""),"",'Danh mục'!$F$5+SUM($D$5:D120)-SUM($E$5:E120))</f>
        <v/>
      </c>
      <c r="G120" s="29"/>
      <c r="H120" s="33"/>
      <c r="I120" s="34"/>
    </row>
    <row r="121" customFormat="false" ht="15" hidden="false" customHeight="false" outlineLevel="0" collapsed="false">
      <c r="A121" s="32"/>
      <c r="B121" s="29"/>
      <c r="C121" s="29"/>
      <c r="D121" s="25"/>
      <c r="E121" s="25"/>
      <c r="F121" s="18" t="str">
        <f aca="false">IF(AND(D121="",E121=""),"",'Danh mục'!$F$5+SUM($D$5:D121)-SUM($E$5:E121))</f>
        <v/>
      </c>
      <c r="G121" s="29"/>
      <c r="H121" s="33"/>
      <c r="I121" s="34"/>
    </row>
    <row r="122" customFormat="false" ht="15" hidden="false" customHeight="false" outlineLevel="0" collapsed="false">
      <c r="A122" s="32"/>
      <c r="B122" s="29"/>
      <c r="C122" s="29"/>
      <c r="D122" s="25"/>
      <c r="E122" s="25"/>
      <c r="F122" s="18" t="str">
        <f aca="false">IF(AND(D122="",E122=""),"",'Danh mục'!$F$5+SUM($D$5:D122)-SUM($E$5:E122))</f>
        <v/>
      </c>
      <c r="G122" s="29"/>
      <c r="H122" s="33"/>
      <c r="I122" s="34"/>
    </row>
    <row r="123" customFormat="false" ht="15" hidden="false" customHeight="false" outlineLevel="0" collapsed="false">
      <c r="A123" s="32"/>
      <c r="B123" s="29"/>
      <c r="C123" s="29"/>
      <c r="D123" s="25"/>
      <c r="E123" s="25"/>
      <c r="F123" s="18" t="str">
        <f aca="false">IF(AND(D123="",E123=""),"",'Danh mục'!$F$5+SUM($D$5:D123)-SUM($E$5:E123))</f>
        <v/>
      </c>
      <c r="G123" s="29"/>
      <c r="H123" s="33"/>
      <c r="I123" s="34"/>
    </row>
    <row r="124" customFormat="false" ht="15" hidden="false" customHeight="false" outlineLevel="0" collapsed="false">
      <c r="A124" s="32"/>
      <c r="B124" s="29"/>
      <c r="C124" s="29"/>
      <c r="D124" s="25"/>
      <c r="E124" s="25"/>
      <c r="F124" s="18" t="str">
        <f aca="false">IF(AND(D124="",E124=""),"",'Danh mục'!$F$5+SUM($D$5:D124)-SUM($E$5:E124))</f>
        <v/>
      </c>
      <c r="G124" s="29"/>
      <c r="H124" s="33"/>
      <c r="I124" s="34"/>
    </row>
    <row r="125" customFormat="false" ht="15" hidden="false" customHeight="false" outlineLevel="0" collapsed="false">
      <c r="A125" s="32"/>
      <c r="B125" s="29"/>
      <c r="C125" s="29"/>
      <c r="D125" s="25"/>
      <c r="E125" s="25"/>
      <c r="F125" s="18" t="str">
        <f aca="false">IF(AND(D125="",E125=""),"",'Danh mục'!$F$5+SUM($D$5:D125)-SUM($E$5:E125))</f>
        <v/>
      </c>
      <c r="G125" s="29"/>
      <c r="H125" s="33"/>
      <c r="I125" s="34"/>
    </row>
    <row r="126" customFormat="false" ht="15" hidden="false" customHeight="false" outlineLevel="0" collapsed="false">
      <c r="A126" s="32"/>
      <c r="B126" s="29"/>
      <c r="C126" s="29"/>
      <c r="D126" s="25"/>
      <c r="E126" s="25"/>
      <c r="F126" s="18" t="str">
        <f aca="false">IF(AND(D126="",E126=""),"",'Danh mục'!$F$5+SUM($D$5:D126)-SUM($E$5:E126))</f>
        <v/>
      </c>
      <c r="G126" s="29"/>
      <c r="H126" s="33"/>
      <c r="I126" s="34"/>
    </row>
    <row r="127" customFormat="false" ht="15" hidden="false" customHeight="false" outlineLevel="0" collapsed="false">
      <c r="A127" s="32"/>
      <c r="B127" s="29"/>
      <c r="C127" s="29"/>
      <c r="D127" s="25"/>
      <c r="E127" s="25"/>
      <c r="F127" s="18" t="str">
        <f aca="false">IF(AND(D127="",E127=""),"",'Danh mục'!$F$5+SUM($D$5:D127)-SUM($E$5:E127))</f>
        <v/>
      </c>
      <c r="G127" s="29"/>
      <c r="H127" s="33"/>
      <c r="I127" s="34"/>
    </row>
    <row r="128" customFormat="false" ht="15" hidden="false" customHeight="false" outlineLevel="0" collapsed="false">
      <c r="A128" s="32"/>
      <c r="B128" s="29"/>
      <c r="C128" s="29"/>
      <c r="D128" s="25"/>
      <c r="E128" s="25"/>
      <c r="F128" s="18" t="str">
        <f aca="false">IF(AND(D128="",E128=""),"",'Danh mục'!$F$5+SUM($D$5:D128)-SUM($E$5:E128))</f>
        <v/>
      </c>
      <c r="G128" s="29"/>
      <c r="H128" s="33"/>
      <c r="I128" s="34"/>
    </row>
    <row r="129" customFormat="false" ht="15" hidden="false" customHeight="false" outlineLevel="0" collapsed="false">
      <c r="A129" s="32"/>
      <c r="B129" s="29"/>
      <c r="C129" s="29"/>
      <c r="D129" s="25"/>
      <c r="E129" s="25"/>
      <c r="F129" s="18" t="str">
        <f aca="false">IF(AND(D129="",E129=""),"",'Danh mục'!$F$5+SUM($D$5:D129)-SUM($E$5:E129))</f>
        <v/>
      </c>
      <c r="G129" s="29"/>
      <c r="H129" s="33"/>
      <c r="I129" s="34"/>
    </row>
    <row r="130" customFormat="false" ht="15" hidden="false" customHeight="false" outlineLevel="0" collapsed="false">
      <c r="A130" s="32"/>
      <c r="B130" s="29"/>
      <c r="C130" s="29"/>
      <c r="D130" s="25"/>
      <c r="E130" s="25"/>
      <c r="F130" s="18" t="str">
        <f aca="false">IF(AND(D130="",E130=""),"",'Danh mục'!$F$5+SUM($D$5:D130)-SUM($E$5:E130))</f>
        <v/>
      </c>
      <c r="G130" s="29"/>
      <c r="H130" s="33"/>
      <c r="I130" s="34"/>
    </row>
    <row r="131" customFormat="false" ht="15" hidden="false" customHeight="false" outlineLevel="0" collapsed="false">
      <c r="A131" s="32"/>
      <c r="B131" s="29"/>
      <c r="C131" s="29"/>
      <c r="D131" s="25"/>
      <c r="E131" s="25"/>
      <c r="F131" s="18" t="str">
        <f aca="false">IF(AND(D131="",E131=""),"",'Danh mục'!$F$5+SUM($D$5:D131)-SUM($E$5:E131))</f>
        <v/>
      </c>
      <c r="G131" s="29"/>
      <c r="H131" s="33"/>
      <c r="I131" s="34"/>
    </row>
    <row r="132" customFormat="false" ht="15" hidden="false" customHeight="false" outlineLevel="0" collapsed="false">
      <c r="A132" s="32"/>
      <c r="B132" s="29"/>
      <c r="C132" s="29"/>
      <c r="D132" s="25"/>
      <c r="E132" s="25"/>
      <c r="F132" s="18" t="str">
        <f aca="false">IF(AND(D132="",E132=""),"",'Danh mục'!$F$5+SUM($D$5:D132)-SUM($E$5:E132))</f>
        <v/>
      </c>
      <c r="G132" s="29"/>
      <c r="H132" s="33"/>
      <c r="I132" s="34"/>
    </row>
    <row r="133" customFormat="false" ht="15" hidden="false" customHeight="false" outlineLevel="0" collapsed="false">
      <c r="A133" s="32"/>
      <c r="B133" s="29"/>
      <c r="C133" s="29"/>
      <c r="D133" s="25"/>
      <c r="E133" s="25"/>
      <c r="F133" s="18" t="str">
        <f aca="false">IF(AND(D133="",E133=""),"",'Danh mục'!$F$5+SUM($D$5:D133)-SUM($E$5:E133))</f>
        <v/>
      </c>
      <c r="G133" s="29"/>
      <c r="H133" s="33"/>
      <c r="I133" s="34"/>
    </row>
    <row r="134" customFormat="false" ht="15" hidden="false" customHeight="false" outlineLevel="0" collapsed="false">
      <c r="A134" s="32"/>
      <c r="B134" s="29"/>
      <c r="C134" s="29"/>
      <c r="D134" s="25"/>
      <c r="E134" s="25"/>
      <c r="F134" s="18" t="str">
        <f aca="false">IF(AND(D134="",E134=""),"",'Danh mục'!$F$5+SUM($D$5:D134)-SUM($E$5:E134))</f>
        <v/>
      </c>
      <c r="G134" s="29"/>
      <c r="H134" s="33"/>
      <c r="I134" s="34"/>
    </row>
    <row r="135" customFormat="false" ht="15" hidden="false" customHeight="false" outlineLevel="0" collapsed="false">
      <c r="A135" s="32"/>
      <c r="B135" s="29"/>
      <c r="C135" s="29"/>
      <c r="D135" s="25"/>
      <c r="E135" s="25"/>
      <c r="F135" s="18" t="str">
        <f aca="false">IF(AND(D135="",E135=""),"",'Danh mục'!$F$5+SUM($D$5:D135)-SUM($E$5:E135))</f>
        <v/>
      </c>
      <c r="G135" s="29"/>
      <c r="H135" s="33"/>
      <c r="I135" s="34"/>
    </row>
    <row r="136" customFormat="false" ht="15" hidden="false" customHeight="false" outlineLevel="0" collapsed="false">
      <c r="A136" s="32"/>
      <c r="B136" s="29"/>
      <c r="C136" s="29"/>
      <c r="D136" s="25"/>
      <c r="E136" s="25"/>
      <c r="F136" s="18" t="str">
        <f aca="false">IF(AND(D136="",E136=""),"",'Danh mục'!$F$5+SUM($D$5:D136)-SUM($E$5:E136))</f>
        <v/>
      </c>
      <c r="G136" s="29"/>
      <c r="H136" s="33"/>
      <c r="I136" s="34"/>
    </row>
    <row r="137" customFormat="false" ht="15" hidden="false" customHeight="false" outlineLevel="0" collapsed="false">
      <c r="A137" s="32"/>
      <c r="B137" s="29"/>
      <c r="C137" s="29"/>
      <c r="D137" s="25"/>
      <c r="E137" s="25"/>
      <c r="F137" s="18" t="str">
        <f aca="false">IF(AND(D137="",E137=""),"",'Danh mục'!$F$5+SUM($D$5:D137)-SUM($E$5:E137))</f>
        <v/>
      </c>
      <c r="G137" s="29"/>
      <c r="H137" s="33"/>
      <c r="I137" s="34"/>
    </row>
    <row r="138" customFormat="false" ht="15" hidden="false" customHeight="false" outlineLevel="0" collapsed="false">
      <c r="A138" s="32"/>
      <c r="B138" s="29"/>
      <c r="C138" s="29"/>
      <c r="D138" s="25"/>
      <c r="E138" s="25"/>
      <c r="F138" s="18" t="str">
        <f aca="false">IF(AND(D138="",E138=""),"",'Danh mục'!$F$5+SUM($D$5:D138)-SUM($E$5:E138))</f>
        <v/>
      </c>
      <c r="G138" s="29"/>
      <c r="H138" s="33"/>
      <c r="I138" s="34"/>
    </row>
    <row r="139" customFormat="false" ht="15" hidden="false" customHeight="false" outlineLevel="0" collapsed="false">
      <c r="A139" s="32"/>
      <c r="B139" s="29"/>
      <c r="C139" s="29"/>
      <c r="D139" s="25"/>
      <c r="E139" s="25"/>
      <c r="F139" s="18" t="str">
        <f aca="false">IF(AND(D139="",E139=""),"",'Danh mục'!$F$5+SUM($D$5:D139)-SUM($E$5:E139))</f>
        <v/>
      </c>
      <c r="G139" s="29"/>
      <c r="H139" s="33"/>
      <c r="I139" s="34"/>
    </row>
    <row r="140" customFormat="false" ht="15" hidden="false" customHeight="false" outlineLevel="0" collapsed="false">
      <c r="A140" s="32"/>
      <c r="B140" s="29"/>
      <c r="C140" s="29"/>
      <c r="D140" s="25"/>
      <c r="E140" s="25"/>
      <c r="F140" s="18" t="str">
        <f aca="false">IF(AND(D140="",E140=""),"",'Danh mục'!$F$5+SUM($D$5:D140)-SUM($E$5:E140))</f>
        <v/>
      </c>
      <c r="G140" s="29"/>
      <c r="H140" s="33"/>
      <c r="I140" s="34"/>
    </row>
    <row r="141" customFormat="false" ht="15" hidden="false" customHeight="false" outlineLevel="0" collapsed="false">
      <c r="A141" s="32"/>
      <c r="B141" s="29"/>
      <c r="C141" s="29"/>
      <c r="D141" s="25"/>
      <c r="E141" s="25"/>
      <c r="F141" s="18" t="str">
        <f aca="false">IF(AND(D141="",E141=""),"",'Danh mục'!$F$5+SUM($D$5:D141)-SUM($E$5:E141))</f>
        <v/>
      </c>
      <c r="G141" s="29"/>
      <c r="H141" s="33"/>
      <c r="I141" s="34"/>
    </row>
    <row r="142" customFormat="false" ht="15" hidden="false" customHeight="false" outlineLevel="0" collapsed="false">
      <c r="A142" s="32"/>
      <c r="B142" s="29"/>
      <c r="C142" s="29"/>
      <c r="D142" s="25"/>
      <c r="E142" s="25"/>
      <c r="F142" s="18" t="str">
        <f aca="false">IF(AND(D142="",E142=""),"",'Danh mục'!$F$5+SUM($D$5:D142)-SUM($E$5:E142))</f>
        <v/>
      </c>
      <c r="G142" s="29"/>
      <c r="H142" s="33"/>
      <c r="I142" s="34"/>
    </row>
    <row r="143" customFormat="false" ht="15" hidden="false" customHeight="false" outlineLevel="0" collapsed="false">
      <c r="A143" s="32"/>
      <c r="B143" s="29"/>
      <c r="C143" s="29"/>
      <c r="D143" s="25"/>
      <c r="E143" s="25"/>
      <c r="F143" s="18" t="str">
        <f aca="false">IF(AND(D143="",E143=""),"",'Danh mục'!$F$5+SUM($D$5:D143)-SUM($E$5:E143))</f>
        <v/>
      </c>
      <c r="G143" s="29"/>
      <c r="H143" s="33"/>
      <c r="I143" s="34"/>
    </row>
    <row r="144" customFormat="false" ht="15" hidden="false" customHeight="false" outlineLevel="0" collapsed="false">
      <c r="A144" s="32"/>
      <c r="B144" s="29"/>
      <c r="C144" s="29"/>
      <c r="D144" s="25"/>
      <c r="E144" s="25"/>
      <c r="F144" s="18" t="str">
        <f aca="false">IF(AND(D144="",E144=""),"",'Danh mục'!$F$5+SUM($D$5:D144)-SUM($E$5:E144))</f>
        <v/>
      </c>
      <c r="G144" s="29"/>
      <c r="H144" s="33"/>
      <c r="I144" s="34"/>
    </row>
    <row r="145" customFormat="false" ht="15" hidden="false" customHeight="false" outlineLevel="0" collapsed="false">
      <c r="A145" s="32"/>
      <c r="B145" s="29"/>
      <c r="C145" s="29"/>
      <c r="D145" s="25"/>
      <c r="E145" s="25"/>
      <c r="F145" s="18" t="str">
        <f aca="false">IF(AND(D145="",E145=""),"",'Danh mục'!$F$5+SUM($D$5:D145)-SUM($E$5:E145))</f>
        <v/>
      </c>
      <c r="G145" s="29"/>
      <c r="H145" s="33"/>
      <c r="I145" s="34"/>
    </row>
    <row r="146" customFormat="false" ht="15" hidden="false" customHeight="false" outlineLevel="0" collapsed="false">
      <c r="A146" s="32"/>
      <c r="B146" s="29"/>
      <c r="C146" s="29"/>
      <c r="D146" s="25"/>
      <c r="E146" s="25"/>
      <c r="F146" s="18" t="str">
        <f aca="false">IF(AND(D146="",E146=""),"",'Danh mục'!$F$5+SUM($D$5:D146)-SUM($E$5:E146))</f>
        <v/>
      </c>
      <c r="G146" s="29"/>
      <c r="H146" s="33"/>
      <c r="I146" s="34"/>
    </row>
    <row r="147" customFormat="false" ht="15" hidden="false" customHeight="false" outlineLevel="0" collapsed="false">
      <c r="A147" s="32"/>
      <c r="B147" s="29"/>
      <c r="C147" s="29"/>
      <c r="D147" s="25"/>
      <c r="E147" s="25"/>
      <c r="F147" s="18" t="str">
        <f aca="false">IF(AND(D147="",E147=""),"",'Danh mục'!$F$5+SUM($D$5:D147)-SUM($E$5:E147))</f>
        <v/>
      </c>
      <c r="G147" s="29"/>
      <c r="H147" s="33"/>
      <c r="I147" s="34"/>
    </row>
    <row r="148" customFormat="false" ht="15" hidden="false" customHeight="false" outlineLevel="0" collapsed="false">
      <c r="A148" s="32"/>
      <c r="B148" s="29"/>
      <c r="C148" s="29"/>
      <c r="D148" s="25"/>
      <c r="E148" s="25"/>
      <c r="F148" s="18" t="str">
        <f aca="false">IF(AND(D148="",E148=""),"",'Danh mục'!$F$5+SUM($D$5:D148)-SUM($E$5:E148))</f>
        <v/>
      </c>
      <c r="G148" s="29"/>
      <c r="H148" s="33"/>
      <c r="I148" s="34"/>
    </row>
    <row r="149" customFormat="false" ht="15" hidden="false" customHeight="false" outlineLevel="0" collapsed="false">
      <c r="A149" s="32"/>
      <c r="B149" s="29"/>
      <c r="C149" s="29"/>
      <c r="D149" s="25"/>
      <c r="E149" s="25"/>
      <c r="F149" s="18" t="str">
        <f aca="false">IF(AND(D149="",E149=""),"",'Danh mục'!$F$5+SUM($D$5:D149)-SUM($E$5:E149))</f>
        <v/>
      </c>
      <c r="G149" s="29"/>
      <c r="H149" s="33"/>
      <c r="I149" s="34"/>
    </row>
    <row r="150" customFormat="false" ht="15" hidden="false" customHeight="false" outlineLevel="0" collapsed="false">
      <c r="A150" s="32"/>
      <c r="B150" s="29"/>
      <c r="C150" s="29"/>
      <c r="D150" s="25"/>
      <c r="E150" s="25"/>
      <c r="F150" s="18" t="str">
        <f aca="false">IF(AND(D150="",E150=""),"",'Danh mục'!$F$5+SUM($D$5:D150)-SUM($E$5:E150))</f>
        <v/>
      </c>
      <c r="G150" s="29"/>
      <c r="H150" s="33"/>
      <c r="I150" s="34"/>
    </row>
    <row r="151" customFormat="false" ht="15" hidden="false" customHeight="false" outlineLevel="0" collapsed="false">
      <c r="A151" s="32"/>
      <c r="B151" s="29"/>
      <c r="C151" s="29"/>
      <c r="D151" s="25"/>
      <c r="E151" s="25"/>
      <c r="F151" s="18" t="str">
        <f aca="false">IF(AND(D151="",E151=""),"",'Danh mục'!$F$5+SUM($D$5:D151)-SUM($E$5:E151))</f>
        <v/>
      </c>
      <c r="G151" s="29"/>
      <c r="H151" s="33"/>
      <c r="I151" s="34"/>
    </row>
    <row r="152" customFormat="false" ht="15" hidden="false" customHeight="false" outlineLevel="0" collapsed="false">
      <c r="A152" s="32"/>
      <c r="B152" s="29"/>
      <c r="C152" s="29"/>
      <c r="D152" s="25"/>
      <c r="E152" s="25"/>
      <c r="F152" s="18" t="str">
        <f aca="false">IF(AND(D152="",E152=""),"",'Danh mục'!$F$5+SUM($D$5:D152)-SUM($E$5:E152))</f>
        <v/>
      </c>
      <c r="G152" s="29"/>
      <c r="H152" s="33"/>
      <c r="I152" s="34"/>
    </row>
    <row r="153" customFormat="false" ht="15" hidden="false" customHeight="false" outlineLevel="0" collapsed="false">
      <c r="A153" s="32"/>
      <c r="B153" s="29"/>
      <c r="C153" s="29"/>
      <c r="D153" s="25"/>
      <c r="E153" s="25"/>
      <c r="F153" s="18" t="str">
        <f aca="false">IF(AND(D153="",E153=""),"",'Danh mục'!$F$5+SUM($D$5:D153)-SUM($E$5:E153))</f>
        <v/>
      </c>
      <c r="G153" s="29"/>
      <c r="H153" s="33"/>
      <c r="I153" s="34"/>
    </row>
    <row r="154" customFormat="false" ht="15" hidden="false" customHeight="false" outlineLevel="0" collapsed="false">
      <c r="A154" s="32"/>
      <c r="B154" s="29"/>
      <c r="C154" s="29"/>
      <c r="D154" s="25"/>
      <c r="E154" s="25"/>
      <c r="F154" s="18" t="str">
        <f aca="false">IF(AND(D154="",E154=""),"",'Danh mục'!$F$5+SUM($D$5:D154)-SUM($E$5:E154))</f>
        <v/>
      </c>
      <c r="G154" s="29"/>
      <c r="H154" s="33"/>
      <c r="I154" s="34"/>
    </row>
    <row r="155" customFormat="false" ht="15" hidden="false" customHeight="false" outlineLevel="0" collapsed="false">
      <c r="A155" s="32"/>
      <c r="B155" s="29"/>
      <c r="C155" s="29"/>
      <c r="D155" s="25"/>
      <c r="E155" s="25"/>
      <c r="F155" s="18" t="str">
        <f aca="false">IF(AND(D155="",E155=""),"",'Danh mục'!$F$5+SUM($D$5:D155)-SUM($E$5:E155))</f>
        <v/>
      </c>
      <c r="G155" s="29"/>
      <c r="H155" s="33"/>
      <c r="I155" s="34"/>
    </row>
    <row r="156" customFormat="false" ht="15" hidden="false" customHeight="false" outlineLevel="0" collapsed="false">
      <c r="A156" s="32"/>
      <c r="B156" s="29"/>
      <c r="C156" s="29"/>
      <c r="D156" s="25"/>
      <c r="E156" s="25"/>
      <c r="F156" s="18" t="str">
        <f aca="false">IF(AND(D156="",E156=""),"",'Danh mục'!$F$5+SUM($D$5:D156)-SUM($E$5:E156))</f>
        <v/>
      </c>
      <c r="G156" s="29"/>
      <c r="H156" s="33"/>
      <c r="I156" s="34"/>
    </row>
    <row r="157" customFormat="false" ht="15" hidden="false" customHeight="false" outlineLevel="0" collapsed="false">
      <c r="A157" s="32"/>
      <c r="B157" s="29"/>
      <c r="C157" s="29"/>
      <c r="D157" s="25"/>
      <c r="E157" s="25"/>
      <c r="F157" s="18" t="str">
        <f aca="false">IF(AND(D157="",E157=""),"",'Danh mục'!$F$5+SUM($D$5:D157)-SUM($E$5:E157))</f>
        <v/>
      </c>
      <c r="G157" s="29"/>
      <c r="H157" s="33"/>
      <c r="I157" s="34"/>
    </row>
    <row r="158" customFormat="false" ht="15" hidden="false" customHeight="false" outlineLevel="0" collapsed="false">
      <c r="A158" s="32"/>
      <c r="B158" s="29"/>
      <c r="C158" s="29"/>
      <c r="D158" s="25"/>
      <c r="E158" s="25"/>
      <c r="F158" s="18" t="str">
        <f aca="false">IF(AND(D158="",E158=""),"",'Danh mục'!$F$5+SUM($D$5:D158)-SUM($E$5:E158))</f>
        <v/>
      </c>
      <c r="G158" s="29"/>
      <c r="H158" s="33"/>
      <c r="I158" s="34"/>
    </row>
    <row r="159" customFormat="false" ht="15" hidden="false" customHeight="false" outlineLevel="0" collapsed="false">
      <c r="A159" s="32"/>
      <c r="B159" s="29"/>
      <c r="C159" s="29"/>
      <c r="D159" s="25"/>
      <c r="E159" s="25"/>
      <c r="F159" s="18" t="str">
        <f aca="false">IF(AND(D159="",E159=""),"",'Danh mục'!$F$5+SUM($D$5:D159)-SUM($E$5:E159))</f>
        <v/>
      </c>
      <c r="G159" s="29"/>
      <c r="H159" s="33"/>
      <c r="I159" s="34"/>
    </row>
    <row r="160" customFormat="false" ht="15" hidden="false" customHeight="false" outlineLevel="0" collapsed="false">
      <c r="A160" s="32"/>
      <c r="B160" s="29"/>
      <c r="C160" s="29"/>
      <c r="D160" s="25"/>
      <c r="E160" s="25"/>
      <c r="F160" s="18" t="str">
        <f aca="false">IF(AND(D160="",E160=""),"",'Danh mục'!$F$5+SUM($D$5:D160)-SUM($E$5:E160))</f>
        <v/>
      </c>
      <c r="G160" s="29"/>
      <c r="H160" s="33"/>
      <c r="I160" s="34"/>
    </row>
    <row r="161" customFormat="false" ht="15" hidden="false" customHeight="false" outlineLevel="0" collapsed="false">
      <c r="A161" s="32"/>
      <c r="B161" s="29"/>
      <c r="C161" s="29"/>
      <c r="D161" s="25"/>
      <c r="E161" s="25"/>
      <c r="F161" s="18" t="str">
        <f aca="false">IF(AND(D161="",E161=""),"",'Danh mục'!$F$5+SUM($D$5:D161)-SUM($E$5:E161))</f>
        <v/>
      </c>
      <c r="G161" s="29"/>
      <c r="H161" s="33"/>
      <c r="I161" s="34"/>
    </row>
    <row r="162" customFormat="false" ht="15" hidden="false" customHeight="false" outlineLevel="0" collapsed="false">
      <c r="A162" s="32"/>
      <c r="B162" s="29"/>
      <c r="C162" s="29"/>
      <c r="D162" s="25"/>
      <c r="E162" s="25"/>
      <c r="F162" s="18" t="str">
        <f aca="false">IF(AND(D162="",E162=""),"",'Danh mục'!$F$5+SUM($D$5:D162)-SUM($E$5:E162))</f>
        <v/>
      </c>
      <c r="G162" s="29"/>
      <c r="H162" s="33"/>
      <c r="I162" s="34"/>
    </row>
    <row r="163" customFormat="false" ht="15" hidden="false" customHeight="false" outlineLevel="0" collapsed="false">
      <c r="A163" s="32"/>
      <c r="B163" s="29"/>
      <c r="C163" s="29"/>
      <c r="D163" s="25"/>
      <c r="E163" s="25"/>
      <c r="F163" s="18" t="str">
        <f aca="false">IF(AND(D163="",E163=""),"",'Danh mục'!$F$5+SUM($D$5:D163)-SUM($E$5:E163))</f>
        <v/>
      </c>
      <c r="G163" s="29"/>
      <c r="H163" s="33"/>
      <c r="I163" s="34"/>
    </row>
    <row r="164" customFormat="false" ht="15" hidden="false" customHeight="false" outlineLevel="0" collapsed="false">
      <c r="A164" s="32"/>
      <c r="B164" s="29"/>
      <c r="C164" s="29"/>
      <c r="D164" s="25"/>
      <c r="E164" s="25"/>
      <c r="F164" s="18" t="str">
        <f aca="false">IF(AND(D164="",E164=""),"",'Danh mục'!$F$5+SUM($D$5:D164)-SUM($E$5:E164))</f>
        <v/>
      </c>
      <c r="G164" s="29"/>
      <c r="H164" s="33"/>
      <c r="I164" s="34"/>
    </row>
    <row r="165" customFormat="false" ht="15" hidden="false" customHeight="false" outlineLevel="0" collapsed="false">
      <c r="A165" s="32"/>
      <c r="B165" s="29"/>
      <c r="C165" s="29"/>
      <c r="D165" s="25"/>
      <c r="E165" s="25"/>
      <c r="F165" s="18" t="str">
        <f aca="false">IF(AND(D165="",E165=""),"",'Danh mục'!$F$5+SUM($D$5:D165)-SUM($E$5:E165))</f>
        <v/>
      </c>
      <c r="G165" s="29"/>
      <c r="H165" s="33"/>
      <c r="I165" s="34"/>
    </row>
    <row r="166" customFormat="false" ht="15" hidden="false" customHeight="false" outlineLevel="0" collapsed="false">
      <c r="A166" s="32"/>
      <c r="B166" s="29"/>
      <c r="C166" s="29"/>
      <c r="D166" s="25"/>
      <c r="E166" s="25"/>
      <c r="F166" s="18" t="str">
        <f aca="false">IF(AND(D166="",E166=""),"",'Danh mục'!$F$5+SUM($D$5:D166)-SUM($E$5:E166))</f>
        <v/>
      </c>
      <c r="G166" s="29"/>
      <c r="H166" s="33"/>
      <c r="I166" s="34"/>
    </row>
    <row r="167" customFormat="false" ht="15" hidden="false" customHeight="false" outlineLevel="0" collapsed="false">
      <c r="A167" s="32"/>
      <c r="B167" s="29"/>
      <c r="C167" s="29"/>
      <c r="D167" s="25"/>
      <c r="E167" s="25"/>
      <c r="F167" s="18" t="str">
        <f aca="false">IF(AND(D167="",E167=""),"",'Danh mục'!$F$5+SUM($D$5:D167)-SUM($E$5:E167))</f>
        <v/>
      </c>
      <c r="G167" s="29"/>
      <c r="H167" s="33"/>
      <c r="I167" s="34"/>
    </row>
    <row r="168" customFormat="false" ht="15" hidden="false" customHeight="false" outlineLevel="0" collapsed="false">
      <c r="A168" s="32"/>
      <c r="B168" s="29"/>
      <c r="C168" s="29"/>
      <c r="D168" s="25"/>
      <c r="E168" s="25"/>
      <c r="F168" s="18" t="str">
        <f aca="false">IF(AND(D168="",E168=""),"",'Danh mục'!$F$5+SUM($D$5:D168)-SUM($E$5:E168))</f>
        <v/>
      </c>
      <c r="G168" s="29"/>
      <c r="H168" s="33"/>
      <c r="I168" s="34"/>
    </row>
    <row r="169" customFormat="false" ht="15" hidden="false" customHeight="false" outlineLevel="0" collapsed="false">
      <c r="A169" s="32"/>
      <c r="B169" s="29"/>
      <c r="C169" s="29"/>
      <c r="D169" s="25"/>
      <c r="E169" s="25"/>
      <c r="F169" s="18" t="str">
        <f aca="false">IF(AND(D169="",E169=""),"",'Danh mục'!$F$5+SUM($D$5:D169)-SUM($E$5:E169))</f>
        <v/>
      </c>
      <c r="G169" s="29"/>
      <c r="H169" s="33"/>
      <c r="I169" s="34"/>
    </row>
    <row r="170" customFormat="false" ht="15" hidden="false" customHeight="false" outlineLevel="0" collapsed="false">
      <c r="A170" s="32"/>
      <c r="B170" s="29"/>
      <c r="C170" s="29"/>
      <c r="D170" s="25"/>
      <c r="E170" s="25"/>
      <c r="F170" s="18" t="str">
        <f aca="false">IF(AND(D170="",E170=""),"",'Danh mục'!$F$5+SUM($D$5:D170)-SUM($E$5:E170))</f>
        <v/>
      </c>
      <c r="G170" s="29"/>
      <c r="H170" s="33"/>
      <c r="I170" s="34"/>
    </row>
    <row r="171" customFormat="false" ht="15" hidden="false" customHeight="false" outlineLevel="0" collapsed="false">
      <c r="A171" s="32"/>
      <c r="B171" s="29"/>
      <c r="C171" s="29"/>
      <c r="D171" s="25"/>
      <c r="E171" s="25"/>
      <c r="F171" s="18" t="str">
        <f aca="false">IF(AND(D171="",E171=""),"",'Danh mục'!$F$5+SUM($D$5:D171)-SUM($E$5:E171))</f>
        <v/>
      </c>
      <c r="G171" s="29"/>
      <c r="H171" s="33"/>
      <c r="I171" s="34"/>
    </row>
    <row r="172" customFormat="false" ht="15" hidden="false" customHeight="false" outlineLevel="0" collapsed="false">
      <c r="A172" s="32"/>
      <c r="B172" s="29"/>
      <c r="C172" s="29"/>
      <c r="D172" s="25"/>
      <c r="E172" s="25"/>
      <c r="F172" s="18" t="str">
        <f aca="false">IF(AND(D172="",E172=""),"",'Danh mục'!$F$5+SUM($D$5:D172)-SUM($E$5:E172))</f>
        <v/>
      </c>
      <c r="G172" s="29"/>
      <c r="H172" s="33"/>
      <c r="I172" s="34"/>
    </row>
    <row r="173" customFormat="false" ht="15" hidden="false" customHeight="false" outlineLevel="0" collapsed="false">
      <c r="A173" s="32"/>
      <c r="B173" s="29"/>
      <c r="C173" s="29"/>
      <c r="D173" s="25"/>
      <c r="E173" s="25"/>
      <c r="F173" s="18" t="str">
        <f aca="false">IF(AND(D173="",E173=""),"",'Danh mục'!$F$5+SUM($D$5:D173)-SUM($E$5:E173))</f>
        <v/>
      </c>
      <c r="G173" s="29"/>
      <c r="H173" s="33"/>
      <c r="I173" s="34"/>
    </row>
    <row r="174" customFormat="false" ht="15" hidden="false" customHeight="false" outlineLevel="0" collapsed="false">
      <c r="A174" s="32"/>
      <c r="B174" s="29"/>
      <c r="C174" s="29"/>
      <c r="D174" s="25"/>
      <c r="E174" s="25"/>
      <c r="F174" s="18" t="str">
        <f aca="false">IF(AND(D174="",E174=""),"",'Danh mục'!$F$5+SUM($D$5:D174)-SUM($E$5:E174))</f>
        <v/>
      </c>
      <c r="G174" s="29"/>
      <c r="H174" s="33"/>
      <c r="I174" s="34"/>
    </row>
    <row r="175" customFormat="false" ht="15" hidden="false" customHeight="false" outlineLevel="0" collapsed="false">
      <c r="A175" s="32"/>
      <c r="B175" s="29"/>
      <c r="C175" s="29"/>
      <c r="D175" s="25"/>
      <c r="E175" s="25"/>
      <c r="F175" s="18" t="str">
        <f aca="false">IF(AND(D175="",E175=""),"",'Danh mục'!$F$5+SUM($D$5:D175)-SUM($E$5:E175))</f>
        <v/>
      </c>
      <c r="G175" s="29"/>
      <c r="H175" s="33"/>
      <c r="I175" s="34"/>
    </row>
    <row r="176" customFormat="false" ht="15" hidden="false" customHeight="false" outlineLevel="0" collapsed="false">
      <c r="A176" s="32"/>
      <c r="B176" s="29"/>
      <c r="C176" s="29"/>
      <c r="D176" s="25"/>
      <c r="E176" s="25"/>
      <c r="F176" s="18" t="str">
        <f aca="false">IF(AND(D176="",E176=""),"",'Danh mục'!$F$5+SUM($D$5:D176)-SUM($E$5:E176))</f>
        <v/>
      </c>
      <c r="G176" s="29"/>
      <c r="H176" s="33"/>
      <c r="I176" s="34"/>
    </row>
    <row r="177" customFormat="false" ht="15" hidden="false" customHeight="false" outlineLevel="0" collapsed="false">
      <c r="A177" s="32"/>
      <c r="B177" s="29"/>
      <c r="C177" s="29"/>
      <c r="D177" s="25"/>
      <c r="E177" s="25"/>
      <c r="F177" s="18" t="str">
        <f aca="false">IF(AND(D177="",E177=""),"",'Danh mục'!$F$5+SUM($D$5:D177)-SUM($E$5:E177))</f>
        <v/>
      </c>
      <c r="G177" s="29"/>
      <c r="H177" s="33"/>
      <c r="I177" s="34"/>
    </row>
    <row r="178" customFormat="false" ht="15" hidden="false" customHeight="false" outlineLevel="0" collapsed="false">
      <c r="A178" s="32"/>
      <c r="B178" s="29"/>
      <c r="C178" s="29"/>
      <c r="D178" s="25"/>
      <c r="E178" s="25"/>
      <c r="F178" s="18" t="str">
        <f aca="false">IF(AND(D178="",E178=""),"",'Danh mục'!$F$5+SUM($D$5:D178)-SUM($E$5:E178))</f>
        <v/>
      </c>
      <c r="G178" s="29"/>
      <c r="H178" s="33"/>
      <c r="I178" s="34"/>
    </row>
    <row r="179" customFormat="false" ht="15" hidden="false" customHeight="false" outlineLevel="0" collapsed="false">
      <c r="A179" s="32"/>
      <c r="B179" s="29"/>
      <c r="C179" s="29"/>
      <c r="D179" s="25"/>
      <c r="E179" s="25"/>
      <c r="F179" s="18" t="str">
        <f aca="false">IF(AND(D179="",E179=""),"",'Danh mục'!$F$5+SUM($D$5:D179)-SUM($E$5:E179))</f>
        <v/>
      </c>
      <c r="G179" s="29"/>
      <c r="H179" s="33"/>
      <c r="I179" s="34"/>
    </row>
    <row r="180" customFormat="false" ht="15" hidden="false" customHeight="false" outlineLevel="0" collapsed="false">
      <c r="A180" s="32"/>
      <c r="B180" s="29"/>
      <c r="C180" s="29"/>
      <c r="D180" s="25"/>
      <c r="E180" s="25"/>
      <c r="F180" s="18" t="str">
        <f aca="false">IF(AND(D180="",E180=""),"",'Danh mục'!$F$5+SUM($D$5:D180)-SUM($E$5:E180))</f>
        <v/>
      </c>
      <c r="G180" s="29"/>
      <c r="H180" s="33"/>
      <c r="I180" s="34"/>
    </row>
    <row r="181" customFormat="false" ht="15" hidden="false" customHeight="false" outlineLevel="0" collapsed="false">
      <c r="A181" s="32"/>
      <c r="B181" s="29"/>
      <c r="C181" s="29"/>
      <c r="D181" s="25"/>
      <c r="E181" s="25"/>
      <c r="F181" s="18" t="str">
        <f aca="false">IF(AND(D181="",E181=""),"",'Danh mục'!$F$5+SUM($D$5:D181)-SUM($E$5:E181))</f>
        <v/>
      </c>
      <c r="G181" s="29"/>
      <c r="H181" s="33"/>
      <c r="I181" s="34"/>
    </row>
    <row r="182" customFormat="false" ht="15" hidden="false" customHeight="false" outlineLevel="0" collapsed="false">
      <c r="A182" s="32"/>
      <c r="B182" s="29"/>
      <c r="C182" s="29"/>
      <c r="D182" s="25"/>
      <c r="E182" s="25"/>
      <c r="F182" s="18" t="str">
        <f aca="false">IF(AND(D182="",E182=""),"",'Danh mục'!$F$5+SUM($D$5:D182)-SUM($E$5:E182))</f>
        <v/>
      </c>
      <c r="G182" s="29"/>
      <c r="H182" s="33"/>
      <c r="I182" s="34"/>
    </row>
    <row r="183" customFormat="false" ht="15" hidden="false" customHeight="false" outlineLevel="0" collapsed="false">
      <c r="A183" s="32"/>
      <c r="B183" s="29"/>
      <c r="C183" s="29"/>
      <c r="D183" s="25"/>
      <c r="E183" s="25"/>
      <c r="F183" s="18" t="str">
        <f aca="false">IF(AND(D183="",E183=""),"",'Danh mục'!$F$5+SUM($D$5:D183)-SUM($E$5:E183))</f>
        <v/>
      </c>
      <c r="G183" s="29"/>
      <c r="H183" s="33"/>
      <c r="I183" s="34"/>
    </row>
    <row r="184" customFormat="false" ht="15" hidden="false" customHeight="false" outlineLevel="0" collapsed="false">
      <c r="A184" s="32"/>
      <c r="B184" s="29"/>
      <c r="C184" s="29"/>
      <c r="D184" s="25"/>
      <c r="E184" s="25"/>
      <c r="F184" s="18" t="str">
        <f aca="false">IF(AND(D184="",E184=""),"",'Danh mục'!$F$5+SUM($D$5:D184)-SUM($E$5:E184))</f>
        <v/>
      </c>
      <c r="G184" s="29"/>
      <c r="H184" s="33"/>
      <c r="I184" s="34"/>
    </row>
    <row r="185" customFormat="false" ht="15" hidden="false" customHeight="false" outlineLevel="0" collapsed="false">
      <c r="A185" s="32"/>
      <c r="B185" s="29"/>
      <c r="C185" s="29"/>
      <c r="D185" s="25"/>
      <c r="E185" s="25"/>
      <c r="F185" s="18" t="str">
        <f aca="false">IF(AND(D185="",E185=""),"",'Danh mục'!$F$5+SUM($D$5:D185)-SUM($E$5:E185))</f>
        <v/>
      </c>
      <c r="G185" s="29"/>
      <c r="H185" s="33"/>
      <c r="I185" s="34"/>
    </row>
    <row r="186" customFormat="false" ht="15" hidden="false" customHeight="false" outlineLevel="0" collapsed="false">
      <c r="A186" s="32"/>
      <c r="B186" s="29"/>
      <c r="C186" s="29"/>
      <c r="D186" s="25"/>
      <c r="E186" s="25"/>
      <c r="F186" s="18" t="str">
        <f aca="false">IF(AND(D186="",E186=""),"",'Danh mục'!$F$5+SUM($D$5:D186)-SUM($E$5:E186))</f>
        <v/>
      </c>
      <c r="G186" s="29"/>
      <c r="H186" s="33"/>
      <c r="I186" s="34"/>
    </row>
    <row r="187" customFormat="false" ht="15" hidden="false" customHeight="false" outlineLevel="0" collapsed="false">
      <c r="A187" s="32"/>
      <c r="B187" s="29"/>
      <c r="C187" s="29"/>
      <c r="D187" s="25"/>
      <c r="E187" s="25"/>
      <c r="F187" s="18" t="str">
        <f aca="false">IF(AND(D187="",E187=""),"",'Danh mục'!$F$5+SUM($D$5:D187)-SUM($E$5:E187))</f>
        <v/>
      </c>
      <c r="G187" s="29"/>
      <c r="H187" s="33"/>
      <c r="I187" s="34"/>
    </row>
    <row r="188" customFormat="false" ht="15" hidden="false" customHeight="false" outlineLevel="0" collapsed="false">
      <c r="A188" s="32"/>
      <c r="B188" s="29"/>
      <c r="C188" s="29"/>
      <c r="D188" s="25"/>
      <c r="E188" s="25"/>
      <c r="F188" s="18" t="str">
        <f aca="false">IF(AND(D188="",E188=""),"",'Danh mục'!$F$5+SUM($D$5:D188)-SUM($E$5:E188))</f>
        <v/>
      </c>
      <c r="G188" s="29"/>
      <c r="H188" s="33"/>
      <c r="I188" s="34"/>
    </row>
    <row r="189" customFormat="false" ht="15" hidden="false" customHeight="false" outlineLevel="0" collapsed="false">
      <c r="A189" s="32"/>
      <c r="B189" s="29"/>
      <c r="C189" s="29"/>
      <c r="D189" s="25"/>
      <c r="E189" s="25"/>
      <c r="F189" s="18" t="str">
        <f aca="false">IF(AND(D189="",E189=""),"",'Danh mục'!$F$5+SUM($D$5:D189)-SUM($E$5:E189))</f>
        <v/>
      </c>
      <c r="G189" s="29"/>
      <c r="H189" s="33"/>
      <c r="I189" s="34"/>
    </row>
    <row r="190" customFormat="false" ht="15" hidden="false" customHeight="false" outlineLevel="0" collapsed="false">
      <c r="A190" s="32"/>
      <c r="B190" s="29"/>
      <c r="C190" s="29"/>
      <c r="D190" s="25"/>
      <c r="E190" s="25"/>
      <c r="F190" s="18" t="str">
        <f aca="false">IF(AND(D190="",E190=""),"",'Danh mục'!$F$5+SUM($D$5:D190)-SUM($E$5:E190))</f>
        <v/>
      </c>
      <c r="G190" s="29"/>
      <c r="H190" s="33"/>
      <c r="I190" s="34"/>
    </row>
    <row r="191" customFormat="false" ht="15" hidden="false" customHeight="false" outlineLevel="0" collapsed="false">
      <c r="A191" s="32"/>
      <c r="B191" s="29"/>
      <c r="C191" s="29"/>
      <c r="D191" s="25"/>
      <c r="E191" s="25"/>
      <c r="F191" s="18" t="str">
        <f aca="false">IF(AND(D191="",E191=""),"",'Danh mục'!$F$5+SUM($D$5:D191)-SUM($E$5:E191))</f>
        <v/>
      </c>
      <c r="G191" s="29"/>
      <c r="H191" s="33"/>
      <c r="I191" s="34"/>
    </row>
    <row r="192" customFormat="false" ht="15" hidden="false" customHeight="false" outlineLevel="0" collapsed="false">
      <c r="A192" s="32"/>
      <c r="B192" s="29"/>
      <c r="C192" s="29"/>
      <c r="D192" s="25"/>
      <c r="E192" s="25"/>
      <c r="F192" s="18" t="str">
        <f aca="false">IF(AND(D192="",E192=""),"",'Danh mục'!$F$5+SUM($D$5:D192)-SUM($E$5:E192))</f>
        <v/>
      </c>
      <c r="G192" s="29"/>
      <c r="H192" s="33"/>
      <c r="I192" s="34"/>
    </row>
    <row r="193" customFormat="false" ht="15" hidden="false" customHeight="false" outlineLevel="0" collapsed="false">
      <c r="A193" s="32"/>
      <c r="B193" s="29"/>
      <c r="C193" s="29"/>
      <c r="D193" s="25"/>
      <c r="E193" s="25"/>
      <c r="F193" s="18" t="str">
        <f aca="false">IF(AND(D193="",E193=""),"",'Danh mục'!$F$5+SUM($D$5:D193)-SUM($E$5:E193))</f>
        <v/>
      </c>
      <c r="G193" s="29"/>
      <c r="H193" s="33"/>
      <c r="I193" s="34"/>
    </row>
    <row r="194" customFormat="false" ht="15" hidden="false" customHeight="false" outlineLevel="0" collapsed="false">
      <c r="A194" s="32"/>
      <c r="B194" s="29"/>
      <c r="C194" s="29"/>
      <c r="D194" s="25"/>
      <c r="E194" s="25"/>
      <c r="F194" s="18" t="str">
        <f aca="false">IF(AND(D194="",E194=""),"",'Danh mục'!$F$5+SUM($D$5:D194)-SUM($E$5:E194))</f>
        <v/>
      </c>
      <c r="G194" s="29"/>
      <c r="H194" s="33"/>
      <c r="I194" s="34"/>
    </row>
    <row r="195" customFormat="false" ht="15" hidden="false" customHeight="false" outlineLevel="0" collapsed="false">
      <c r="A195" s="32"/>
      <c r="B195" s="29"/>
      <c r="C195" s="29"/>
      <c r="D195" s="25"/>
      <c r="E195" s="25"/>
      <c r="F195" s="18" t="str">
        <f aca="false">IF(AND(D195="",E195=""),"",'Danh mục'!$F$5+SUM($D$5:D195)-SUM($E$5:E195))</f>
        <v/>
      </c>
      <c r="G195" s="29"/>
      <c r="H195" s="33"/>
      <c r="I195" s="34"/>
    </row>
    <row r="196" customFormat="false" ht="15" hidden="false" customHeight="false" outlineLevel="0" collapsed="false">
      <c r="A196" s="32"/>
      <c r="B196" s="29"/>
      <c r="C196" s="29"/>
      <c r="D196" s="25"/>
      <c r="E196" s="25"/>
      <c r="F196" s="18" t="str">
        <f aca="false">IF(AND(D196="",E196=""),"",'Danh mục'!$F$5+SUM($D$5:D196)-SUM($E$5:E196))</f>
        <v/>
      </c>
      <c r="G196" s="29"/>
      <c r="H196" s="33"/>
      <c r="I196" s="34"/>
    </row>
    <row r="197" customFormat="false" ht="15" hidden="false" customHeight="false" outlineLevel="0" collapsed="false">
      <c r="A197" s="32"/>
      <c r="B197" s="29"/>
      <c r="C197" s="29"/>
      <c r="D197" s="25"/>
      <c r="E197" s="25"/>
      <c r="F197" s="18" t="str">
        <f aca="false">IF(AND(D197="",E197=""),"",'Danh mục'!$F$5+SUM($D$5:D197)-SUM($E$5:E197))</f>
        <v/>
      </c>
      <c r="G197" s="29"/>
      <c r="H197" s="33"/>
      <c r="I197" s="34"/>
    </row>
    <row r="198" customFormat="false" ht="15" hidden="false" customHeight="false" outlineLevel="0" collapsed="false">
      <c r="A198" s="32"/>
      <c r="B198" s="29"/>
      <c r="C198" s="29"/>
      <c r="D198" s="25"/>
      <c r="E198" s="25"/>
      <c r="F198" s="18" t="str">
        <f aca="false">IF(AND(D198="",E198=""),"",'Danh mục'!$F$5+SUM($D$5:D198)-SUM($E$5:E198))</f>
        <v/>
      </c>
      <c r="G198" s="29"/>
      <c r="H198" s="33"/>
      <c r="I198" s="34"/>
    </row>
    <row r="199" customFormat="false" ht="15" hidden="false" customHeight="false" outlineLevel="0" collapsed="false">
      <c r="A199" s="32"/>
      <c r="B199" s="29"/>
      <c r="C199" s="29"/>
      <c r="D199" s="25"/>
      <c r="E199" s="25"/>
      <c r="F199" s="18" t="str">
        <f aca="false">IF(AND(D199="",E199=""),"",'Danh mục'!$F$5+SUM($D$5:D199)-SUM($E$5:E199))</f>
        <v/>
      </c>
      <c r="G199" s="29"/>
      <c r="H199" s="33"/>
      <c r="I199" s="34"/>
    </row>
    <row r="200" customFormat="false" ht="15" hidden="false" customHeight="false" outlineLevel="0" collapsed="false">
      <c r="A200" s="32"/>
      <c r="B200" s="29"/>
      <c r="C200" s="29"/>
      <c r="D200" s="25"/>
      <c r="E200" s="25"/>
      <c r="F200" s="18" t="str">
        <f aca="false">IF(AND(D200="",E200=""),"",'Danh mục'!$F$5+SUM($D$5:D200)-SUM($E$5:E200))</f>
        <v/>
      </c>
      <c r="G200" s="29"/>
      <c r="H200" s="33"/>
      <c r="I200" s="34"/>
    </row>
    <row r="201" customFormat="false" ht="15" hidden="false" customHeight="false" outlineLevel="0" collapsed="false">
      <c r="A201" s="32"/>
      <c r="B201" s="29"/>
      <c r="C201" s="29"/>
      <c r="D201" s="25"/>
      <c r="E201" s="25"/>
      <c r="F201" s="18" t="str">
        <f aca="false">IF(AND(D201="",E201=""),"",'Danh mục'!$F$5+SUM($D$5:D201)-SUM($E$5:E201))</f>
        <v/>
      </c>
      <c r="G201" s="29"/>
      <c r="H201" s="33"/>
      <c r="I201" s="34"/>
    </row>
    <row r="202" customFormat="false" ht="15" hidden="false" customHeight="false" outlineLevel="0" collapsed="false">
      <c r="A202" s="32"/>
      <c r="B202" s="29"/>
      <c r="C202" s="29"/>
      <c r="D202" s="25"/>
      <c r="E202" s="25"/>
      <c r="F202" s="18" t="str">
        <f aca="false">IF(AND(D202="",E202=""),"",'Danh mục'!$F$5+SUM($D$5:D202)-SUM($E$5:E202))</f>
        <v/>
      </c>
      <c r="G202" s="29"/>
      <c r="H202" s="33"/>
      <c r="I202" s="34"/>
    </row>
    <row r="203" customFormat="false" ht="15" hidden="false" customHeight="false" outlineLevel="0" collapsed="false">
      <c r="A203" s="32"/>
      <c r="B203" s="29"/>
      <c r="C203" s="29"/>
      <c r="D203" s="25"/>
      <c r="E203" s="25"/>
      <c r="F203" s="18" t="str">
        <f aca="false">IF(AND(D203="",E203=""),"",'Danh mục'!$F$5+SUM($D$5:D203)-SUM($E$5:E203))</f>
        <v/>
      </c>
      <c r="G203" s="29"/>
      <c r="H203" s="33"/>
      <c r="I203" s="34"/>
    </row>
    <row r="204" customFormat="false" ht="15" hidden="false" customHeight="false" outlineLevel="0" collapsed="false">
      <c r="A204" s="32"/>
      <c r="B204" s="29"/>
      <c r="C204" s="29"/>
      <c r="D204" s="25"/>
      <c r="E204" s="25"/>
      <c r="F204" s="18" t="str">
        <f aca="false">IF(AND(D204="",E204=""),"",'Danh mục'!$F$5+SUM($D$5:D204)-SUM($E$5:E204))</f>
        <v/>
      </c>
      <c r="G204" s="29"/>
      <c r="H204" s="33"/>
      <c r="I204" s="34"/>
    </row>
    <row r="205" customFormat="false" ht="15" hidden="false" customHeight="false" outlineLevel="0" collapsed="false">
      <c r="A205" s="32"/>
      <c r="B205" s="29"/>
      <c r="C205" s="29"/>
      <c r="D205" s="25"/>
      <c r="E205" s="25"/>
      <c r="F205" s="18" t="str">
        <f aca="false">IF(AND(D205="",E205=""),"",'Danh mục'!$F$5+SUM($D$5:D205)-SUM($E$5:E205))</f>
        <v/>
      </c>
      <c r="G205" s="29"/>
      <c r="H205" s="33"/>
      <c r="I205" s="34"/>
    </row>
    <row r="206" customFormat="false" ht="15" hidden="false" customHeight="false" outlineLevel="0" collapsed="false">
      <c r="A206" s="32"/>
      <c r="B206" s="29"/>
      <c r="C206" s="29"/>
      <c r="D206" s="25"/>
      <c r="E206" s="25"/>
      <c r="F206" s="18" t="str">
        <f aca="false">IF(AND(D206="",E206=""),"",'Danh mục'!$F$5+SUM($D$5:D206)-SUM($E$5:E206))</f>
        <v/>
      </c>
      <c r="G206" s="29"/>
      <c r="H206" s="33"/>
      <c r="I206" s="34"/>
    </row>
    <row r="207" customFormat="false" ht="15" hidden="false" customHeight="false" outlineLevel="0" collapsed="false">
      <c r="A207" s="32"/>
      <c r="B207" s="29"/>
      <c r="C207" s="29"/>
      <c r="D207" s="25"/>
      <c r="E207" s="25"/>
      <c r="F207" s="18" t="str">
        <f aca="false">IF(AND(D207="",E207=""),"",'Danh mục'!$F$5+SUM($D$5:D207)-SUM($E$5:E207))</f>
        <v/>
      </c>
      <c r="G207" s="29"/>
      <c r="H207" s="33"/>
      <c r="I207" s="34"/>
    </row>
    <row r="208" customFormat="false" ht="15" hidden="false" customHeight="false" outlineLevel="0" collapsed="false">
      <c r="A208" s="32"/>
      <c r="B208" s="29"/>
      <c r="C208" s="29"/>
      <c r="D208" s="25"/>
      <c r="E208" s="25"/>
      <c r="F208" s="18" t="str">
        <f aca="false">IF(AND(D208="",E208=""),"",'Danh mục'!$F$5+SUM($D$5:D208)-SUM($E$5:E208))</f>
        <v/>
      </c>
      <c r="G208" s="29"/>
      <c r="H208" s="33"/>
      <c r="I208" s="34"/>
    </row>
    <row r="209" customFormat="false" ht="15" hidden="false" customHeight="false" outlineLevel="0" collapsed="false">
      <c r="A209" s="32"/>
      <c r="B209" s="29"/>
      <c r="C209" s="29"/>
      <c r="D209" s="25"/>
      <c r="E209" s="25"/>
      <c r="F209" s="18" t="str">
        <f aca="false">IF(AND(D209="",E209=""),"",'Danh mục'!$F$5+SUM($D$5:D209)-SUM($E$5:E209))</f>
        <v/>
      </c>
      <c r="G209" s="29"/>
      <c r="H209" s="33"/>
      <c r="I209" s="34"/>
    </row>
    <row r="210" customFormat="false" ht="15" hidden="false" customHeight="false" outlineLevel="0" collapsed="false">
      <c r="A210" s="32"/>
      <c r="B210" s="29"/>
      <c r="C210" s="29"/>
      <c r="D210" s="25"/>
      <c r="E210" s="25"/>
      <c r="F210" s="18" t="str">
        <f aca="false">IF(AND(D210="",E210=""),"",'Danh mục'!$F$5+SUM($D$5:D210)-SUM($E$5:E210))</f>
        <v/>
      </c>
      <c r="G210" s="29"/>
      <c r="H210" s="33"/>
      <c r="I210" s="34"/>
    </row>
    <row r="211" customFormat="false" ht="15" hidden="false" customHeight="false" outlineLevel="0" collapsed="false">
      <c r="A211" s="32"/>
      <c r="B211" s="29"/>
      <c r="C211" s="29"/>
      <c r="D211" s="25"/>
      <c r="E211" s="25"/>
      <c r="F211" s="18" t="str">
        <f aca="false">IF(AND(D211="",E211=""),"",'Danh mục'!$F$5+SUM($D$5:D211)-SUM($E$5:E211))</f>
        <v/>
      </c>
      <c r="G211" s="29"/>
      <c r="H211" s="33"/>
      <c r="I211" s="34"/>
    </row>
    <row r="212" customFormat="false" ht="15" hidden="false" customHeight="false" outlineLevel="0" collapsed="false">
      <c r="A212" s="32"/>
      <c r="B212" s="29"/>
      <c r="C212" s="29"/>
      <c r="D212" s="25"/>
      <c r="E212" s="25"/>
      <c r="F212" s="18" t="str">
        <f aca="false">IF(AND(D212="",E212=""),"",'Danh mục'!$F$5+SUM($D$5:D212)-SUM($E$5:E212))</f>
        <v/>
      </c>
      <c r="G212" s="29"/>
      <c r="H212" s="33"/>
      <c r="I212" s="34"/>
    </row>
    <row r="213" customFormat="false" ht="15" hidden="false" customHeight="false" outlineLevel="0" collapsed="false">
      <c r="A213" s="32"/>
      <c r="B213" s="29"/>
      <c r="C213" s="29"/>
      <c r="D213" s="25"/>
      <c r="E213" s="25"/>
      <c r="F213" s="18" t="str">
        <f aca="false">IF(AND(D213="",E213=""),"",'Danh mục'!$F$5+SUM($D$5:D213)-SUM($E$5:E213))</f>
        <v/>
      </c>
      <c r="G213" s="29"/>
      <c r="H213" s="33"/>
      <c r="I213" s="34"/>
    </row>
    <row r="214" customFormat="false" ht="15" hidden="false" customHeight="false" outlineLevel="0" collapsed="false">
      <c r="A214" s="32"/>
      <c r="B214" s="29"/>
      <c r="C214" s="29"/>
      <c r="D214" s="25"/>
      <c r="E214" s="25"/>
      <c r="F214" s="18" t="str">
        <f aca="false">IF(AND(D214="",E214=""),"",'Danh mục'!$F$5+SUM($D$5:D214)-SUM($E$5:E214))</f>
        <v/>
      </c>
      <c r="G214" s="29"/>
      <c r="H214" s="33"/>
      <c r="I214" s="34"/>
    </row>
    <row r="215" customFormat="false" ht="15" hidden="false" customHeight="false" outlineLevel="0" collapsed="false">
      <c r="A215" s="32"/>
      <c r="B215" s="29"/>
      <c r="C215" s="29"/>
      <c r="D215" s="25"/>
      <c r="E215" s="25"/>
      <c r="F215" s="18" t="str">
        <f aca="false">IF(AND(D215="",E215=""),"",'Danh mục'!$F$5+SUM($D$5:D215)-SUM($E$5:E215))</f>
        <v/>
      </c>
      <c r="G215" s="29"/>
      <c r="H215" s="33"/>
      <c r="I215" s="34"/>
    </row>
    <row r="216" customFormat="false" ht="15" hidden="false" customHeight="false" outlineLevel="0" collapsed="false">
      <c r="A216" s="32"/>
      <c r="B216" s="29"/>
      <c r="C216" s="29"/>
      <c r="D216" s="25"/>
      <c r="E216" s="25"/>
      <c r="F216" s="18" t="str">
        <f aca="false">IF(AND(D216="",E216=""),"",'Danh mục'!$F$5+SUM($D$5:D216)-SUM($E$5:E216))</f>
        <v/>
      </c>
      <c r="G216" s="29"/>
      <c r="H216" s="33"/>
      <c r="I216" s="34"/>
    </row>
    <row r="217" customFormat="false" ht="15" hidden="false" customHeight="false" outlineLevel="0" collapsed="false">
      <c r="A217" s="32"/>
      <c r="B217" s="29"/>
      <c r="C217" s="29"/>
      <c r="D217" s="25"/>
      <c r="E217" s="25"/>
      <c r="F217" s="18" t="str">
        <f aca="false">IF(AND(D217="",E217=""),"",'Danh mục'!$F$5+SUM($D$5:D217)-SUM($E$5:E217))</f>
        <v/>
      </c>
      <c r="G217" s="29"/>
      <c r="H217" s="33"/>
      <c r="I217" s="34"/>
    </row>
    <row r="218" customFormat="false" ht="15" hidden="false" customHeight="false" outlineLevel="0" collapsed="false">
      <c r="A218" s="32"/>
      <c r="B218" s="29"/>
      <c r="C218" s="29"/>
      <c r="D218" s="25"/>
      <c r="E218" s="25"/>
      <c r="F218" s="18" t="str">
        <f aca="false">IF(AND(D218="",E218=""),"",'Danh mục'!$F$5+SUM($D$5:D218)-SUM($E$5:E218))</f>
        <v/>
      </c>
      <c r="G218" s="29"/>
      <c r="H218" s="33"/>
      <c r="I218" s="34"/>
    </row>
    <row r="219" customFormat="false" ht="15" hidden="false" customHeight="false" outlineLevel="0" collapsed="false">
      <c r="A219" s="32"/>
      <c r="B219" s="29"/>
      <c r="C219" s="29"/>
      <c r="D219" s="25"/>
      <c r="E219" s="25"/>
      <c r="F219" s="18" t="str">
        <f aca="false">IF(AND(D219="",E219=""),"",'Danh mục'!$F$5+SUM($D$5:D219)-SUM($E$5:E219))</f>
        <v/>
      </c>
      <c r="G219" s="29"/>
      <c r="H219" s="33"/>
      <c r="I219" s="34"/>
    </row>
    <row r="220" customFormat="false" ht="15" hidden="false" customHeight="false" outlineLevel="0" collapsed="false">
      <c r="A220" s="32"/>
      <c r="B220" s="29"/>
      <c r="C220" s="29"/>
      <c r="D220" s="25"/>
      <c r="E220" s="25"/>
      <c r="F220" s="18" t="str">
        <f aca="false">IF(AND(D220="",E220=""),"",'Danh mục'!$F$5+SUM($D$5:D220)-SUM($E$5:E220))</f>
        <v/>
      </c>
      <c r="G220" s="29"/>
      <c r="H220" s="33"/>
      <c r="I220" s="34"/>
    </row>
    <row r="221" customFormat="false" ht="15" hidden="false" customHeight="false" outlineLevel="0" collapsed="false">
      <c r="A221" s="32"/>
      <c r="B221" s="29"/>
      <c r="C221" s="29"/>
      <c r="D221" s="25"/>
      <c r="E221" s="25"/>
      <c r="F221" s="18" t="str">
        <f aca="false">IF(AND(D221="",E221=""),"",'Danh mục'!$F$5+SUM($D$5:D221)-SUM($E$5:E221))</f>
        <v/>
      </c>
      <c r="G221" s="29"/>
      <c r="H221" s="33"/>
      <c r="I221" s="34"/>
    </row>
    <row r="222" customFormat="false" ht="15" hidden="false" customHeight="false" outlineLevel="0" collapsed="false">
      <c r="A222" s="32"/>
      <c r="B222" s="29"/>
      <c r="C222" s="29"/>
      <c r="D222" s="25"/>
      <c r="E222" s="25"/>
      <c r="F222" s="18" t="str">
        <f aca="false">IF(AND(D222="",E222=""),"",'Danh mục'!$F$5+SUM($D$5:D222)-SUM($E$5:E222))</f>
        <v/>
      </c>
      <c r="G222" s="29"/>
      <c r="H222" s="33"/>
      <c r="I222" s="34"/>
    </row>
    <row r="223" customFormat="false" ht="15" hidden="false" customHeight="false" outlineLevel="0" collapsed="false">
      <c r="A223" s="32"/>
      <c r="B223" s="29"/>
      <c r="C223" s="29"/>
      <c r="D223" s="25"/>
      <c r="E223" s="25"/>
      <c r="F223" s="18" t="str">
        <f aca="false">IF(AND(D223="",E223=""),"",'Danh mục'!$F$5+SUM($D$5:D223)-SUM($E$5:E223))</f>
        <v/>
      </c>
      <c r="G223" s="29"/>
      <c r="H223" s="33"/>
      <c r="I223" s="34"/>
    </row>
    <row r="224" customFormat="false" ht="15" hidden="false" customHeight="false" outlineLevel="0" collapsed="false">
      <c r="A224" s="32"/>
      <c r="B224" s="29"/>
      <c r="C224" s="29"/>
      <c r="D224" s="25"/>
      <c r="E224" s="25"/>
      <c r="F224" s="18" t="str">
        <f aca="false">IF(AND(D224="",E224=""),"",'Danh mục'!$F$5+SUM($D$5:D224)-SUM($E$5:E224))</f>
        <v/>
      </c>
      <c r="G224" s="29"/>
      <c r="H224" s="33"/>
      <c r="I224" s="34"/>
    </row>
    <row r="225" customFormat="false" ht="15" hidden="false" customHeight="false" outlineLevel="0" collapsed="false">
      <c r="A225" s="32"/>
      <c r="B225" s="29"/>
      <c r="C225" s="29"/>
      <c r="D225" s="25"/>
      <c r="E225" s="25"/>
      <c r="F225" s="18" t="str">
        <f aca="false">IF(AND(D225="",E225=""),"",'Danh mục'!$F$5+SUM($D$5:D225)-SUM($E$5:E225))</f>
        <v/>
      </c>
      <c r="G225" s="29"/>
      <c r="H225" s="33"/>
      <c r="I225" s="34"/>
    </row>
    <row r="226" customFormat="false" ht="15" hidden="false" customHeight="false" outlineLevel="0" collapsed="false">
      <c r="A226" s="32"/>
      <c r="B226" s="29"/>
      <c r="C226" s="29"/>
      <c r="D226" s="25"/>
      <c r="E226" s="25"/>
      <c r="F226" s="18" t="str">
        <f aca="false">IF(AND(D226="",E226=""),"",'Danh mục'!$F$5+SUM($D$5:D226)-SUM($E$5:E226))</f>
        <v/>
      </c>
      <c r="G226" s="29"/>
      <c r="H226" s="33"/>
      <c r="I226" s="34"/>
    </row>
    <row r="227" customFormat="false" ht="15" hidden="false" customHeight="false" outlineLevel="0" collapsed="false">
      <c r="A227" s="32"/>
      <c r="B227" s="29"/>
      <c r="C227" s="29"/>
      <c r="D227" s="25"/>
      <c r="E227" s="25"/>
      <c r="F227" s="18" t="str">
        <f aca="false">IF(AND(D227="",E227=""),"",'Danh mục'!$F$5+SUM($D$5:D227)-SUM($E$5:E227))</f>
        <v/>
      </c>
      <c r="G227" s="29"/>
      <c r="H227" s="33"/>
      <c r="I227" s="34"/>
    </row>
    <row r="228" customFormat="false" ht="15" hidden="false" customHeight="false" outlineLevel="0" collapsed="false">
      <c r="A228" s="32"/>
      <c r="B228" s="29"/>
      <c r="C228" s="29"/>
      <c r="D228" s="25"/>
      <c r="E228" s="25"/>
      <c r="F228" s="18" t="str">
        <f aca="false">IF(AND(D228="",E228=""),"",'Danh mục'!$F$5+SUM($D$5:D228)-SUM($E$5:E228))</f>
        <v/>
      </c>
      <c r="G228" s="29"/>
      <c r="H228" s="33"/>
      <c r="I228" s="34"/>
    </row>
    <row r="229" customFormat="false" ht="15" hidden="false" customHeight="false" outlineLevel="0" collapsed="false">
      <c r="A229" s="32"/>
      <c r="B229" s="29"/>
      <c r="C229" s="29"/>
      <c r="D229" s="25"/>
      <c r="E229" s="25"/>
      <c r="F229" s="18" t="str">
        <f aca="false">IF(AND(D229="",E229=""),"",'Danh mục'!$F$5+SUM($D$5:D229)-SUM($E$5:E229))</f>
        <v/>
      </c>
      <c r="G229" s="29"/>
      <c r="H229" s="33"/>
      <c r="I229" s="34"/>
    </row>
    <row r="230" customFormat="false" ht="15" hidden="false" customHeight="false" outlineLevel="0" collapsed="false">
      <c r="A230" s="32"/>
      <c r="B230" s="29"/>
      <c r="C230" s="29"/>
      <c r="D230" s="25"/>
      <c r="E230" s="25"/>
      <c r="F230" s="18" t="str">
        <f aca="false">IF(AND(D230="",E230=""),"",'Danh mục'!$F$5+SUM($D$5:D230)-SUM($E$5:E230))</f>
        <v/>
      </c>
      <c r="G230" s="29"/>
      <c r="H230" s="33"/>
      <c r="I230" s="34"/>
    </row>
    <row r="231" customFormat="false" ht="15" hidden="false" customHeight="false" outlineLevel="0" collapsed="false">
      <c r="A231" s="32"/>
      <c r="B231" s="29"/>
      <c r="C231" s="29"/>
      <c r="D231" s="25"/>
      <c r="E231" s="25"/>
      <c r="F231" s="18" t="str">
        <f aca="false">IF(AND(D231="",E231=""),"",'Danh mục'!$F$5+SUM($D$5:D231)-SUM($E$5:E231))</f>
        <v/>
      </c>
      <c r="G231" s="29"/>
      <c r="H231" s="33"/>
      <c r="I231" s="34"/>
    </row>
    <row r="232" customFormat="false" ht="15" hidden="false" customHeight="false" outlineLevel="0" collapsed="false">
      <c r="A232" s="32"/>
      <c r="B232" s="29"/>
      <c r="C232" s="29"/>
      <c r="D232" s="25"/>
      <c r="E232" s="25"/>
      <c r="F232" s="18" t="str">
        <f aca="false">IF(AND(D232="",E232=""),"",'Danh mục'!$F$5+SUM($D$5:D232)-SUM($E$5:E232))</f>
        <v/>
      </c>
      <c r="G232" s="29"/>
      <c r="H232" s="33"/>
      <c r="I232" s="34"/>
    </row>
    <row r="233" customFormat="false" ht="15" hidden="false" customHeight="false" outlineLevel="0" collapsed="false">
      <c r="A233" s="32"/>
      <c r="B233" s="29"/>
      <c r="C233" s="29"/>
      <c r="D233" s="25"/>
      <c r="E233" s="25"/>
      <c r="F233" s="18" t="str">
        <f aca="false">IF(AND(D233="",E233=""),"",'Danh mục'!$F$5+SUM($D$5:D233)-SUM($E$5:E233))</f>
        <v/>
      </c>
      <c r="G233" s="29"/>
      <c r="H233" s="33"/>
      <c r="I233" s="34"/>
    </row>
    <row r="234" customFormat="false" ht="15" hidden="false" customHeight="false" outlineLevel="0" collapsed="false">
      <c r="A234" s="32"/>
      <c r="B234" s="29"/>
      <c r="C234" s="29"/>
      <c r="D234" s="25"/>
      <c r="E234" s="25"/>
      <c r="F234" s="18" t="str">
        <f aca="false">IF(AND(D234="",E234=""),"",'Danh mục'!$F$5+SUM($D$5:D234)-SUM($E$5:E234))</f>
        <v/>
      </c>
      <c r="G234" s="29"/>
      <c r="H234" s="33"/>
      <c r="I234" s="34"/>
    </row>
    <row r="235" customFormat="false" ht="15" hidden="false" customHeight="false" outlineLevel="0" collapsed="false">
      <c r="A235" s="32"/>
      <c r="B235" s="29"/>
      <c r="C235" s="29"/>
      <c r="D235" s="25"/>
      <c r="E235" s="25"/>
      <c r="F235" s="18" t="str">
        <f aca="false">IF(AND(D235="",E235=""),"",'Danh mục'!$F$5+SUM($D$5:D235)-SUM($E$5:E235))</f>
        <v/>
      </c>
      <c r="G235" s="29"/>
      <c r="H235" s="33"/>
      <c r="I235" s="34"/>
    </row>
    <row r="236" customFormat="false" ht="15" hidden="false" customHeight="false" outlineLevel="0" collapsed="false">
      <c r="A236" s="32"/>
      <c r="B236" s="29"/>
      <c r="C236" s="29"/>
      <c r="D236" s="25"/>
      <c r="E236" s="25"/>
      <c r="F236" s="18" t="str">
        <f aca="false">IF(AND(D236="",E236=""),"",'Danh mục'!$F$5+SUM($D$5:D236)-SUM($E$5:E236))</f>
        <v/>
      </c>
      <c r="G236" s="29"/>
      <c r="H236" s="33"/>
      <c r="I236" s="34"/>
    </row>
    <row r="237" customFormat="false" ht="15" hidden="false" customHeight="false" outlineLevel="0" collapsed="false">
      <c r="A237" s="32"/>
      <c r="B237" s="29"/>
      <c r="C237" s="29"/>
      <c r="D237" s="25"/>
      <c r="E237" s="25"/>
      <c r="F237" s="18" t="str">
        <f aca="false">IF(AND(D237="",E237=""),"",'Danh mục'!$F$5+SUM($D$5:D237)-SUM($E$5:E237))</f>
        <v/>
      </c>
      <c r="G237" s="29"/>
      <c r="H237" s="33"/>
      <c r="I237" s="34"/>
    </row>
    <row r="238" customFormat="false" ht="15" hidden="false" customHeight="false" outlineLevel="0" collapsed="false">
      <c r="A238" s="32"/>
      <c r="B238" s="29"/>
      <c r="C238" s="29"/>
      <c r="D238" s="25"/>
      <c r="E238" s="25"/>
      <c r="F238" s="18" t="str">
        <f aca="false">IF(AND(D238="",E238=""),"",'Danh mục'!$F$5+SUM($D$5:D238)-SUM($E$5:E238))</f>
        <v/>
      </c>
      <c r="G238" s="29"/>
      <c r="H238" s="33"/>
      <c r="I238" s="34"/>
    </row>
    <row r="239" customFormat="false" ht="15" hidden="false" customHeight="false" outlineLevel="0" collapsed="false">
      <c r="A239" s="32"/>
      <c r="B239" s="29"/>
      <c r="C239" s="29"/>
      <c r="D239" s="25"/>
      <c r="E239" s="25"/>
      <c r="F239" s="18" t="str">
        <f aca="false">IF(AND(D239="",E239=""),"",'Danh mục'!$F$5+SUM($D$5:D239)-SUM($E$5:E239))</f>
        <v/>
      </c>
      <c r="G239" s="29"/>
      <c r="H239" s="33"/>
      <c r="I239" s="34"/>
    </row>
    <row r="240" customFormat="false" ht="15" hidden="false" customHeight="false" outlineLevel="0" collapsed="false">
      <c r="A240" s="32"/>
      <c r="B240" s="29"/>
      <c r="C240" s="29"/>
      <c r="D240" s="25"/>
      <c r="E240" s="25"/>
      <c r="F240" s="18" t="str">
        <f aca="false">IF(AND(D240="",E240=""),"",'Danh mục'!$F$5+SUM($D$5:D240)-SUM($E$5:E240))</f>
        <v/>
      </c>
      <c r="G240" s="29"/>
      <c r="H240" s="33"/>
      <c r="I240" s="34"/>
    </row>
    <row r="241" customFormat="false" ht="15" hidden="false" customHeight="false" outlineLevel="0" collapsed="false">
      <c r="A241" s="32"/>
      <c r="B241" s="29"/>
      <c r="C241" s="29"/>
      <c r="D241" s="25"/>
      <c r="E241" s="25"/>
      <c r="F241" s="18" t="str">
        <f aca="false">IF(AND(D241="",E241=""),"",'Danh mục'!$F$5+SUM($D$5:D241)-SUM($E$5:E241))</f>
        <v/>
      </c>
      <c r="G241" s="29"/>
      <c r="H241" s="33"/>
      <c r="I241" s="34"/>
    </row>
    <row r="242" customFormat="false" ht="15" hidden="false" customHeight="false" outlineLevel="0" collapsed="false">
      <c r="A242" s="32"/>
      <c r="B242" s="29"/>
      <c r="C242" s="29"/>
      <c r="D242" s="25"/>
      <c r="E242" s="25"/>
      <c r="F242" s="18" t="str">
        <f aca="false">IF(AND(D242="",E242=""),"",'Danh mục'!$F$5+SUM($D$5:D242)-SUM($E$5:E242))</f>
        <v/>
      </c>
      <c r="G242" s="29"/>
      <c r="H242" s="33"/>
      <c r="I242" s="34"/>
    </row>
    <row r="243" customFormat="false" ht="15" hidden="false" customHeight="false" outlineLevel="0" collapsed="false">
      <c r="A243" s="32"/>
      <c r="B243" s="29"/>
      <c r="C243" s="29"/>
      <c r="D243" s="25"/>
      <c r="E243" s="25"/>
      <c r="F243" s="18" t="str">
        <f aca="false">IF(AND(D243="",E243=""),"",'Danh mục'!$F$5+SUM($D$5:D243)-SUM($E$5:E243))</f>
        <v/>
      </c>
      <c r="G243" s="29"/>
      <c r="H243" s="33"/>
      <c r="I243" s="34"/>
    </row>
    <row r="244" customFormat="false" ht="15" hidden="false" customHeight="false" outlineLevel="0" collapsed="false">
      <c r="A244" s="32"/>
      <c r="B244" s="29"/>
      <c r="C244" s="29"/>
      <c r="D244" s="25"/>
      <c r="E244" s="25"/>
      <c r="F244" s="18" t="str">
        <f aca="false">IF(AND(D244="",E244=""),"",'Danh mục'!$F$5+SUM($D$5:D244)-SUM($E$5:E244))</f>
        <v/>
      </c>
      <c r="G244" s="29"/>
      <c r="H244" s="33"/>
      <c r="I244" s="34"/>
    </row>
    <row r="245" customFormat="false" ht="15" hidden="false" customHeight="false" outlineLevel="0" collapsed="false">
      <c r="A245" s="32"/>
      <c r="B245" s="29"/>
      <c r="C245" s="29"/>
      <c r="D245" s="25"/>
      <c r="E245" s="25"/>
      <c r="F245" s="18" t="str">
        <f aca="false">IF(AND(D245="",E245=""),"",'Danh mục'!$F$5+SUM($D$5:D245)-SUM($E$5:E245))</f>
        <v/>
      </c>
      <c r="G245" s="29"/>
      <c r="H245" s="33"/>
      <c r="I245" s="34"/>
    </row>
    <row r="246" customFormat="false" ht="15" hidden="false" customHeight="false" outlineLevel="0" collapsed="false">
      <c r="A246" s="32"/>
      <c r="B246" s="29"/>
      <c r="C246" s="29"/>
      <c r="D246" s="25"/>
      <c r="E246" s="25"/>
      <c r="F246" s="18" t="str">
        <f aca="false">IF(AND(D246="",E246=""),"",'Danh mục'!$F$5+SUM($D$5:D246)-SUM($E$5:E246))</f>
        <v/>
      </c>
      <c r="G246" s="29"/>
      <c r="H246" s="33"/>
      <c r="I246" s="34"/>
    </row>
    <row r="247" customFormat="false" ht="15" hidden="false" customHeight="false" outlineLevel="0" collapsed="false">
      <c r="A247" s="32"/>
      <c r="B247" s="29"/>
      <c r="C247" s="29"/>
      <c r="D247" s="25"/>
      <c r="E247" s="25"/>
      <c r="F247" s="18" t="str">
        <f aca="false">IF(AND(D247="",E247=""),"",'Danh mục'!$F$5+SUM($D$5:D247)-SUM($E$5:E247))</f>
        <v/>
      </c>
      <c r="G247" s="29"/>
      <c r="H247" s="33"/>
      <c r="I247" s="34"/>
    </row>
    <row r="248" customFormat="false" ht="15" hidden="false" customHeight="false" outlineLevel="0" collapsed="false">
      <c r="A248" s="32"/>
      <c r="B248" s="29"/>
      <c r="C248" s="29"/>
      <c r="D248" s="25"/>
      <c r="E248" s="25"/>
      <c r="F248" s="18" t="str">
        <f aca="false">IF(AND(D248="",E248=""),"",'Danh mục'!$F$5+SUM($D$5:D248)-SUM($E$5:E248))</f>
        <v/>
      </c>
      <c r="G248" s="29"/>
      <c r="H248" s="33"/>
      <c r="I248" s="34"/>
    </row>
    <row r="249" customFormat="false" ht="15" hidden="false" customHeight="false" outlineLevel="0" collapsed="false">
      <c r="A249" s="32"/>
      <c r="B249" s="29"/>
      <c r="C249" s="29"/>
      <c r="D249" s="25"/>
      <c r="E249" s="25"/>
      <c r="F249" s="18" t="str">
        <f aca="false">IF(AND(D249="",E249=""),"",'Danh mục'!$F$5+SUM($D$5:D249)-SUM($E$5:E249))</f>
        <v/>
      </c>
      <c r="G249" s="29"/>
      <c r="H249" s="33"/>
      <c r="I249" s="34"/>
    </row>
    <row r="250" customFormat="false" ht="15" hidden="false" customHeight="false" outlineLevel="0" collapsed="false">
      <c r="A250" s="32"/>
      <c r="B250" s="29"/>
      <c r="C250" s="29"/>
      <c r="D250" s="25"/>
      <c r="E250" s="25"/>
      <c r="F250" s="18" t="str">
        <f aca="false">IF(AND(D250="",E250=""),"",'Danh mục'!$F$5+SUM($D$5:D250)-SUM($E$5:E250))</f>
        <v/>
      </c>
      <c r="G250" s="29"/>
      <c r="H250" s="33"/>
      <c r="I250" s="34"/>
    </row>
    <row r="251" customFormat="false" ht="15" hidden="false" customHeight="false" outlineLevel="0" collapsed="false">
      <c r="A251" s="32"/>
      <c r="B251" s="29"/>
      <c r="C251" s="29"/>
      <c r="D251" s="25"/>
      <c r="E251" s="25"/>
      <c r="F251" s="18" t="str">
        <f aca="false">IF(AND(D251="",E251=""),"",'Danh mục'!$F$5+SUM($D$5:D251)-SUM($E$5:E251))</f>
        <v/>
      </c>
      <c r="G251" s="29"/>
      <c r="H251" s="33"/>
      <c r="I251" s="34"/>
    </row>
    <row r="252" customFormat="false" ht="15" hidden="false" customHeight="false" outlineLevel="0" collapsed="false">
      <c r="A252" s="32"/>
      <c r="B252" s="29"/>
      <c r="C252" s="29"/>
      <c r="D252" s="25"/>
      <c r="E252" s="25"/>
      <c r="F252" s="18" t="str">
        <f aca="false">IF(AND(D252="",E252=""),"",'Danh mục'!$F$5+SUM($D$5:D252)-SUM($E$5:E252))</f>
        <v/>
      </c>
      <c r="G252" s="29"/>
      <c r="H252" s="33"/>
      <c r="I252" s="34"/>
    </row>
    <row r="253" customFormat="false" ht="15" hidden="false" customHeight="false" outlineLevel="0" collapsed="false">
      <c r="A253" s="32"/>
      <c r="B253" s="29"/>
      <c r="C253" s="29"/>
      <c r="D253" s="25"/>
      <c r="E253" s="25"/>
      <c r="F253" s="18" t="str">
        <f aca="false">IF(AND(D253="",E253=""),"",'Danh mục'!$F$5+SUM($D$5:D253)-SUM($E$5:E253))</f>
        <v/>
      </c>
      <c r="G253" s="29"/>
      <c r="H253" s="33"/>
      <c r="I253" s="34"/>
    </row>
    <row r="254" customFormat="false" ht="15" hidden="false" customHeight="false" outlineLevel="0" collapsed="false">
      <c r="A254" s="32"/>
      <c r="B254" s="29"/>
      <c r="C254" s="29"/>
      <c r="D254" s="25"/>
      <c r="E254" s="25"/>
      <c r="F254" s="18" t="str">
        <f aca="false">IF(AND(D254="",E254=""),"",'Danh mục'!$F$5+SUM($D$5:D254)-SUM($E$5:E254))</f>
        <v/>
      </c>
      <c r="G254" s="29"/>
      <c r="H254" s="33"/>
      <c r="I254" s="34"/>
    </row>
    <row r="255" customFormat="false" ht="15" hidden="false" customHeight="false" outlineLevel="0" collapsed="false">
      <c r="A255" s="32"/>
      <c r="B255" s="29"/>
      <c r="C255" s="29"/>
      <c r="D255" s="25"/>
      <c r="E255" s="25"/>
      <c r="F255" s="18" t="str">
        <f aca="false">IF(AND(D255="",E255=""),"",'Danh mục'!$F$5+SUM($D$5:D255)-SUM($E$5:E255))</f>
        <v/>
      </c>
      <c r="G255" s="29"/>
      <c r="H255" s="33"/>
      <c r="I255" s="34"/>
    </row>
    <row r="256" customFormat="false" ht="15" hidden="false" customHeight="false" outlineLevel="0" collapsed="false">
      <c r="A256" s="32"/>
      <c r="B256" s="29"/>
      <c r="C256" s="29"/>
      <c r="D256" s="25"/>
      <c r="E256" s="25"/>
      <c r="F256" s="18" t="str">
        <f aca="false">IF(AND(D256="",E256=""),"",'Danh mục'!$F$5+SUM($D$5:D256)-SUM($E$5:E256))</f>
        <v/>
      </c>
      <c r="G256" s="29"/>
      <c r="H256" s="33"/>
      <c r="I256" s="34"/>
    </row>
    <row r="257" customFormat="false" ht="15" hidden="false" customHeight="false" outlineLevel="0" collapsed="false">
      <c r="A257" s="32"/>
      <c r="B257" s="29"/>
      <c r="C257" s="29"/>
      <c r="D257" s="25"/>
      <c r="E257" s="25"/>
      <c r="F257" s="18" t="str">
        <f aca="false">IF(AND(D257="",E257=""),"",'Danh mục'!$F$5+SUM($D$5:D257)-SUM($E$5:E257))</f>
        <v/>
      </c>
      <c r="G257" s="29"/>
      <c r="H257" s="33"/>
      <c r="I257" s="34"/>
    </row>
    <row r="258" customFormat="false" ht="15" hidden="false" customHeight="false" outlineLevel="0" collapsed="false">
      <c r="A258" s="32"/>
      <c r="B258" s="29"/>
      <c r="C258" s="29"/>
      <c r="D258" s="25"/>
      <c r="E258" s="25"/>
      <c r="F258" s="18" t="str">
        <f aca="false">IF(AND(D258="",E258=""),"",'Danh mục'!$F$5+SUM($D$5:D258)-SUM($E$5:E258))</f>
        <v/>
      </c>
      <c r="G258" s="29"/>
      <c r="H258" s="33"/>
      <c r="I258" s="34"/>
    </row>
    <row r="259" customFormat="false" ht="15" hidden="false" customHeight="false" outlineLevel="0" collapsed="false">
      <c r="A259" s="32"/>
      <c r="B259" s="29"/>
      <c r="C259" s="29"/>
      <c r="D259" s="25"/>
      <c r="E259" s="25"/>
      <c r="F259" s="18" t="str">
        <f aca="false">IF(AND(D259="",E259=""),"",'Danh mục'!$F$5+SUM($D$5:D259)-SUM($E$5:E259))</f>
        <v/>
      </c>
      <c r="G259" s="29"/>
      <c r="H259" s="33"/>
      <c r="I259" s="34"/>
    </row>
    <row r="260" customFormat="false" ht="15" hidden="false" customHeight="false" outlineLevel="0" collapsed="false">
      <c r="A260" s="32"/>
      <c r="B260" s="29"/>
      <c r="C260" s="29"/>
      <c r="D260" s="25"/>
      <c r="E260" s="25"/>
      <c r="F260" s="18" t="str">
        <f aca="false">IF(AND(D260="",E260=""),"",'Danh mục'!$F$5+SUM($D$5:D260)-SUM($E$5:E260))</f>
        <v/>
      </c>
      <c r="G260" s="29"/>
      <c r="H260" s="33"/>
      <c r="I260" s="34"/>
    </row>
    <row r="261" customFormat="false" ht="15" hidden="false" customHeight="false" outlineLevel="0" collapsed="false">
      <c r="A261" s="32"/>
      <c r="B261" s="29"/>
      <c r="C261" s="29"/>
      <c r="D261" s="25"/>
      <c r="E261" s="25"/>
      <c r="F261" s="18" t="str">
        <f aca="false">IF(AND(D261="",E261=""),"",'Danh mục'!$F$5+SUM($D$5:D261)-SUM($E$5:E261))</f>
        <v/>
      </c>
      <c r="G261" s="29"/>
      <c r="H261" s="33"/>
      <c r="I261" s="34"/>
    </row>
    <row r="262" customFormat="false" ht="15" hidden="false" customHeight="false" outlineLevel="0" collapsed="false">
      <c r="A262" s="32"/>
      <c r="B262" s="29"/>
      <c r="C262" s="29"/>
      <c r="D262" s="25"/>
      <c r="E262" s="25"/>
      <c r="F262" s="18" t="str">
        <f aca="false">IF(AND(D262="",E262=""),"",'Danh mục'!$F$5+SUM($D$5:D262)-SUM($E$5:E262))</f>
        <v/>
      </c>
      <c r="G262" s="29"/>
      <c r="H262" s="33"/>
      <c r="I262" s="34"/>
    </row>
    <row r="263" customFormat="false" ht="15" hidden="false" customHeight="false" outlineLevel="0" collapsed="false">
      <c r="A263" s="32"/>
      <c r="B263" s="29"/>
      <c r="C263" s="29"/>
      <c r="D263" s="25"/>
      <c r="E263" s="25"/>
      <c r="F263" s="18" t="str">
        <f aca="false">IF(AND(D263="",E263=""),"",'Danh mục'!$F$5+SUM($D$5:D263)-SUM($E$5:E263))</f>
        <v/>
      </c>
      <c r="G263" s="29"/>
      <c r="H263" s="33"/>
      <c r="I263" s="34"/>
    </row>
    <row r="264" customFormat="false" ht="15" hidden="false" customHeight="false" outlineLevel="0" collapsed="false">
      <c r="A264" s="32"/>
      <c r="B264" s="29"/>
      <c r="C264" s="29"/>
      <c r="D264" s="25"/>
      <c r="E264" s="25"/>
      <c r="F264" s="18" t="str">
        <f aca="false">IF(AND(D264="",E264=""),"",'Danh mục'!$F$5+SUM($D$5:D264)-SUM($E$5:E264))</f>
        <v/>
      </c>
      <c r="G264" s="29"/>
      <c r="H264" s="33"/>
      <c r="I264" s="34"/>
    </row>
    <row r="265" customFormat="false" ht="15" hidden="false" customHeight="false" outlineLevel="0" collapsed="false">
      <c r="A265" s="32"/>
      <c r="B265" s="29"/>
      <c r="C265" s="29"/>
      <c r="D265" s="25"/>
      <c r="E265" s="25"/>
      <c r="F265" s="18" t="str">
        <f aca="false">IF(AND(D265="",E265=""),"",'Danh mục'!$F$5+SUM($D$5:D265)-SUM($E$5:E265))</f>
        <v/>
      </c>
      <c r="G265" s="29"/>
      <c r="H265" s="33"/>
      <c r="I265" s="34"/>
    </row>
    <row r="266" customFormat="false" ht="15" hidden="false" customHeight="false" outlineLevel="0" collapsed="false">
      <c r="A266" s="32"/>
      <c r="B266" s="29"/>
      <c r="C266" s="29"/>
      <c r="D266" s="25"/>
      <c r="E266" s="25"/>
      <c r="F266" s="18" t="str">
        <f aca="false">IF(AND(D266="",E266=""),"",'Danh mục'!$F$5+SUM($D$5:D266)-SUM($E$5:E266))</f>
        <v/>
      </c>
      <c r="G266" s="29"/>
      <c r="H266" s="33"/>
      <c r="I266" s="34"/>
    </row>
    <row r="267" customFormat="false" ht="15" hidden="false" customHeight="false" outlineLevel="0" collapsed="false">
      <c r="A267" s="32"/>
      <c r="B267" s="29"/>
      <c r="C267" s="29"/>
      <c r="D267" s="25"/>
      <c r="E267" s="25"/>
      <c r="F267" s="18" t="str">
        <f aca="false">IF(AND(D267="",E267=""),"",'Danh mục'!$F$5+SUM($D$5:D267)-SUM($E$5:E267))</f>
        <v/>
      </c>
      <c r="G267" s="29"/>
      <c r="H267" s="33"/>
      <c r="I267" s="34"/>
    </row>
    <row r="268" customFormat="false" ht="15" hidden="false" customHeight="false" outlineLevel="0" collapsed="false">
      <c r="A268" s="32"/>
      <c r="B268" s="29"/>
      <c r="C268" s="29"/>
      <c r="D268" s="25"/>
      <c r="E268" s="25"/>
      <c r="F268" s="18" t="str">
        <f aca="false">IF(AND(D268="",E268=""),"",'Danh mục'!$F$5+SUM($D$5:D268)-SUM($E$5:E268))</f>
        <v/>
      </c>
      <c r="G268" s="29"/>
      <c r="H268" s="33"/>
      <c r="I268" s="34"/>
    </row>
    <row r="269" customFormat="false" ht="15" hidden="false" customHeight="false" outlineLevel="0" collapsed="false">
      <c r="A269" s="32"/>
      <c r="B269" s="29"/>
      <c r="C269" s="29"/>
      <c r="D269" s="25"/>
      <c r="E269" s="25"/>
      <c r="F269" s="18" t="str">
        <f aca="false">IF(AND(D269="",E269=""),"",'Danh mục'!$F$5+SUM($D$5:D269)-SUM($E$5:E269))</f>
        <v/>
      </c>
      <c r="G269" s="29"/>
      <c r="H269" s="33"/>
      <c r="I269" s="34"/>
    </row>
    <row r="270" customFormat="false" ht="15" hidden="false" customHeight="false" outlineLevel="0" collapsed="false">
      <c r="A270" s="32"/>
      <c r="B270" s="29"/>
      <c r="C270" s="29"/>
      <c r="D270" s="25"/>
      <c r="E270" s="25"/>
      <c r="F270" s="18" t="str">
        <f aca="false">IF(AND(D270="",E270=""),"",'Danh mục'!$F$5+SUM($D$5:D270)-SUM($E$5:E270))</f>
        <v/>
      </c>
      <c r="G270" s="29"/>
      <c r="H270" s="33"/>
      <c r="I270" s="34"/>
    </row>
    <row r="271" customFormat="false" ht="15" hidden="false" customHeight="false" outlineLevel="0" collapsed="false">
      <c r="A271" s="32"/>
      <c r="B271" s="29"/>
      <c r="C271" s="29"/>
      <c r="D271" s="25"/>
      <c r="E271" s="25"/>
      <c r="F271" s="18" t="str">
        <f aca="false">IF(AND(D271="",E271=""),"",'Danh mục'!$F$5+SUM($D$5:D271)-SUM($E$5:E271))</f>
        <v/>
      </c>
      <c r="G271" s="29"/>
      <c r="H271" s="33"/>
      <c r="I271" s="34"/>
    </row>
    <row r="272" customFormat="false" ht="15" hidden="false" customHeight="false" outlineLevel="0" collapsed="false">
      <c r="A272" s="32"/>
      <c r="B272" s="29"/>
      <c r="C272" s="29"/>
      <c r="D272" s="25"/>
      <c r="E272" s="25"/>
      <c r="F272" s="18" t="str">
        <f aca="false">IF(AND(D272="",E272=""),"",'Danh mục'!$F$5+SUM($D$5:D272)-SUM($E$5:E272))</f>
        <v/>
      </c>
      <c r="G272" s="29"/>
      <c r="H272" s="33"/>
      <c r="I272" s="34"/>
    </row>
    <row r="273" customFormat="false" ht="15" hidden="false" customHeight="false" outlineLevel="0" collapsed="false">
      <c r="A273" s="32"/>
      <c r="B273" s="29"/>
      <c r="C273" s="29"/>
      <c r="D273" s="25"/>
      <c r="E273" s="25"/>
      <c r="F273" s="18" t="str">
        <f aca="false">IF(AND(D273="",E273=""),"",'Danh mục'!$F$5+SUM($D$5:D273)-SUM($E$5:E273))</f>
        <v/>
      </c>
      <c r="G273" s="29"/>
      <c r="H273" s="33"/>
      <c r="I273" s="34"/>
    </row>
    <row r="274" customFormat="false" ht="15" hidden="false" customHeight="false" outlineLevel="0" collapsed="false">
      <c r="A274" s="32"/>
      <c r="B274" s="29"/>
      <c r="C274" s="29"/>
      <c r="D274" s="25"/>
      <c r="E274" s="25"/>
      <c r="F274" s="18" t="str">
        <f aca="false">IF(AND(D274="",E274=""),"",'Danh mục'!$F$5+SUM($D$5:D274)-SUM($E$5:E274))</f>
        <v/>
      </c>
      <c r="G274" s="29"/>
      <c r="H274" s="33"/>
      <c r="I274" s="34"/>
    </row>
    <row r="275" customFormat="false" ht="15" hidden="false" customHeight="false" outlineLevel="0" collapsed="false">
      <c r="A275" s="32"/>
      <c r="B275" s="29"/>
      <c r="C275" s="29"/>
      <c r="D275" s="25"/>
      <c r="E275" s="25"/>
      <c r="F275" s="18" t="str">
        <f aca="false">IF(AND(D275="",E275=""),"",'Danh mục'!$F$5+SUM($D$5:D275)-SUM($E$5:E275))</f>
        <v/>
      </c>
      <c r="G275" s="29"/>
      <c r="H275" s="33"/>
      <c r="I275" s="34"/>
    </row>
    <row r="276" customFormat="false" ht="15" hidden="false" customHeight="false" outlineLevel="0" collapsed="false">
      <c r="A276" s="32"/>
      <c r="B276" s="29"/>
      <c r="C276" s="29"/>
      <c r="D276" s="25"/>
      <c r="E276" s="25"/>
      <c r="F276" s="18" t="str">
        <f aca="false">IF(AND(D276="",E276=""),"",'Danh mục'!$F$5+SUM($D$5:D276)-SUM($E$5:E276))</f>
        <v/>
      </c>
      <c r="G276" s="29"/>
      <c r="H276" s="33"/>
      <c r="I276" s="34"/>
    </row>
    <row r="277" customFormat="false" ht="15" hidden="false" customHeight="false" outlineLevel="0" collapsed="false">
      <c r="A277" s="32"/>
      <c r="B277" s="29"/>
      <c r="C277" s="29"/>
      <c r="D277" s="25"/>
      <c r="E277" s="25"/>
      <c r="F277" s="18" t="str">
        <f aca="false">IF(AND(D277="",E277=""),"",'Danh mục'!$F$5+SUM($D$5:D277)-SUM($E$5:E277))</f>
        <v/>
      </c>
      <c r="G277" s="29"/>
      <c r="H277" s="33"/>
      <c r="I277" s="34"/>
    </row>
    <row r="278" customFormat="false" ht="15" hidden="false" customHeight="false" outlineLevel="0" collapsed="false">
      <c r="A278" s="32"/>
      <c r="B278" s="29"/>
      <c r="C278" s="29"/>
      <c r="D278" s="25"/>
      <c r="E278" s="25"/>
      <c r="F278" s="18" t="str">
        <f aca="false">IF(AND(D278="",E278=""),"",'Danh mục'!$F$5+SUM($D$5:D278)-SUM($E$5:E278))</f>
        <v/>
      </c>
      <c r="G278" s="29"/>
      <c r="H278" s="33"/>
      <c r="I278" s="34"/>
    </row>
    <row r="279" customFormat="false" ht="15" hidden="false" customHeight="false" outlineLevel="0" collapsed="false">
      <c r="A279" s="32"/>
      <c r="B279" s="29"/>
      <c r="C279" s="29"/>
      <c r="D279" s="25"/>
      <c r="E279" s="25"/>
      <c r="F279" s="18" t="str">
        <f aca="false">IF(AND(D279="",E279=""),"",'Danh mục'!$F$5+SUM($D$5:D279)-SUM($E$5:E279))</f>
        <v/>
      </c>
      <c r="G279" s="29"/>
      <c r="H279" s="33"/>
      <c r="I279" s="34"/>
    </row>
    <row r="280" customFormat="false" ht="15" hidden="false" customHeight="false" outlineLevel="0" collapsed="false">
      <c r="A280" s="32"/>
      <c r="B280" s="29"/>
      <c r="C280" s="29"/>
      <c r="D280" s="25"/>
      <c r="E280" s="25"/>
      <c r="F280" s="18" t="str">
        <f aca="false">IF(AND(D280="",E280=""),"",'Danh mục'!$F$5+SUM($D$5:D280)-SUM($E$5:E280))</f>
        <v/>
      </c>
      <c r="G280" s="29"/>
      <c r="H280" s="33"/>
      <c r="I280" s="34"/>
    </row>
    <row r="281" customFormat="false" ht="15" hidden="false" customHeight="false" outlineLevel="0" collapsed="false">
      <c r="A281" s="32"/>
      <c r="B281" s="29"/>
      <c r="C281" s="29"/>
      <c r="D281" s="25"/>
      <c r="E281" s="25"/>
      <c r="F281" s="18" t="str">
        <f aca="false">IF(AND(D281="",E281=""),"",'Danh mục'!$F$5+SUM($D$5:D281)-SUM($E$5:E281))</f>
        <v/>
      </c>
      <c r="G281" s="29"/>
      <c r="H281" s="33"/>
      <c r="I281" s="34"/>
    </row>
    <row r="282" customFormat="false" ht="15" hidden="false" customHeight="false" outlineLevel="0" collapsed="false">
      <c r="A282" s="32"/>
      <c r="B282" s="29"/>
      <c r="C282" s="29"/>
      <c r="D282" s="25"/>
      <c r="E282" s="25"/>
      <c r="F282" s="18" t="str">
        <f aca="false">IF(AND(D282="",E282=""),"",'Danh mục'!$F$5+SUM($D$5:D282)-SUM($E$5:E282))</f>
        <v/>
      </c>
      <c r="G282" s="29"/>
      <c r="H282" s="33"/>
      <c r="I282" s="34"/>
    </row>
    <row r="283" customFormat="false" ht="15" hidden="false" customHeight="false" outlineLevel="0" collapsed="false">
      <c r="A283" s="32"/>
      <c r="B283" s="29"/>
      <c r="C283" s="29"/>
      <c r="D283" s="25"/>
      <c r="E283" s="25"/>
      <c r="F283" s="18" t="str">
        <f aca="false">IF(AND(D283="",E283=""),"",'Danh mục'!$F$5+SUM($D$5:D283)-SUM($E$5:E283))</f>
        <v/>
      </c>
      <c r="G283" s="29"/>
      <c r="H283" s="33"/>
      <c r="I283" s="34"/>
    </row>
    <row r="284" customFormat="false" ht="15" hidden="false" customHeight="false" outlineLevel="0" collapsed="false">
      <c r="A284" s="32"/>
      <c r="B284" s="29"/>
      <c r="C284" s="29"/>
      <c r="D284" s="25"/>
      <c r="E284" s="25"/>
      <c r="F284" s="18" t="str">
        <f aca="false">IF(AND(D284="",E284=""),"",'Danh mục'!$F$5+SUM($D$5:D284)-SUM($E$5:E284))</f>
        <v/>
      </c>
      <c r="G284" s="29"/>
      <c r="H284" s="33"/>
      <c r="I284" s="34"/>
    </row>
    <row r="285" customFormat="false" ht="15" hidden="false" customHeight="false" outlineLevel="0" collapsed="false">
      <c r="A285" s="32"/>
      <c r="B285" s="29"/>
      <c r="C285" s="29"/>
      <c r="D285" s="25"/>
      <c r="E285" s="25"/>
      <c r="F285" s="18" t="str">
        <f aca="false">IF(AND(D285="",E285=""),"",'Danh mục'!$F$5+SUM($D$5:D285)-SUM($E$5:E285))</f>
        <v/>
      </c>
      <c r="G285" s="29"/>
      <c r="H285" s="33"/>
      <c r="I285" s="34"/>
    </row>
    <row r="286" customFormat="false" ht="15" hidden="false" customHeight="false" outlineLevel="0" collapsed="false">
      <c r="A286" s="32"/>
      <c r="B286" s="29"/>
      <c r="C286" s="29"/>
      <c r="D286" s="25"/>
      <c r="E286" s="25"/>
      <c r="F286" s="18" t="str">
        <f aca="false">IF(AND(D286="",E286=""),"",'Danh mục'!$F$5+SUM($D$5:D286)-SUM($E$5:E286))</f>
        <v/>
      </c>
      <c r="G286" s="29"/>
      <c r="H286" s="33"/>
      <c r="I286" s="34"/>
    </row>
    <row r="287" customFormat="false" ht="15" hidden="false" customHeight="false" outlineLevel="0" collapsed="false">
      <c r="A287" s="32"/>
      <c r="B287" s="29"/>
      <c r="C287" s="29"/>
      <c r="D287" s="25"/>
      <c r="E287" s="25"/>
      <c r="F287" s="18" t="str">
        <f aca="false">IF(AND(D287="",E287=""),"",'Danh mục'!$F$5+SUM($D$5:D287)-SUM($E$5:E287))</f>
        <v/>
      </c>
      <c r="G287" s="29"/>
      <c r="H287" s="33"/>
      <c r="I287" s="34"/>
    </row>
    <row r="288" customFormat="false" ht="15" hidden="false" customHeight="false" outlineLevel="0" collapsed="false">
      <c r="A288" s="32"/>
      <c r="B288" s="29"/>
      <c r="C288" s="29"/>
      <c r="D288" s="25"/>
      <c r="E288" s="25"/>
      <c r="F288" s="18" t="str">
        <f aca="false">IF(AND(D288="",E288=""),"",'Danh mục'!$F$5+SUM($D$5:D288)-SUM($E$5:E288))</f>
        <v/>
      </c>
      <c r="G288" s="29"/>
      <c r="H288" s="33"/>
      <c r="I288" s="34"/>
    </row>
    <row r="289" customFormat="false" ht="15" hidden="false" customHeight="false" outlineLevel="0" collapsed="false">
      <c r="A289" s="32"/>
      <c r="B289" s="29"/>
      <c r="C289" s="29"/>
      <c r="D289" s="25"/>
      <c r="E289" s="25"/>
      <c r="F289" s="18" t="str">
        <f aca="false">IF(AND(D289="",E289=""),"",'Danh mục'!$F$5+SUM($D$5:D289)-SUM($E$5:E289))</f>
        <v/>
      </c>
      <c r="G289" s="29"/>
      <c r="H289" s="33"/>
      <c r="I289" s="34"/>
    </row>
    <row r="290" customFormat="false" ht="15" hidden="false" customHeight="false" outlineLevel="0" collapsed="false">
      <c r="A290" s="32"/>
      <c r="B290" s="29"/>
      <c r="C290" s="29"/>
      <c r="D290" s="25"/>
      <c r="E290" s="25"/>
      <c r="F290" s="18" t="str">
        <f aca="false">IF(AND(D290="",E290=""),"",'Danh mục'!$F$5+SUM($D$5:D290)-SUM($E$5:E290))</f>
        <v/>
      </c>
      <c r="G290" s="29"/>
      <c r="H290" s="33"/>
      <c r="I290" s="34"/>
    </row>
    <row r="291" customFormat="false" ht="15" hidden="false" customHeight="false" outlineLevel="0" collapsed="false">
      <c r="A291" s="32"/>
      <c r="B291" s="29"/>
      <c r="C291" s="29"/>
      <c r="D291" s="25"/>
      <c r="E291" s="25"/>
      <c r="F291" s="18" t="str">
        <f aca="false">IF(AND(D291="",E291=""),"",'Danh mục'!$F$5+SUM($D$5:D291)-SUM($E$5:E291))</f>
        <v/>
      </c>
      <c r="G291" s="29"/>
      <c r="H291" s="33"/>
      <c r="I291" s="34"/>
    </row>
    <row r="292" customFormat="false" ht="15" hidden="false" customHeight="false" outlineLevel="0" collapsed="false">
      <c r="A292" s="32"/>
      <c r="B292" s="29"/>
      <c r="C292" s="29"/>
      <c r="D292" s="25"/>
      <c r="E292" s="25"/>
      <c r="F292" s="18" t="str">
        <f aca="false">IF(AND(D292="",E292=""),"",'Danh mục'!$F$5+SUM($D$5:D292)-SUM($E$5:E292))</f>
        <v/>
      </c>
      <c r="G292" s="29"/>
      <c r="H292" s="33"/>
      <c r="I292" s="34"/>
    </row>
    <row r="293" customFormat="false" ht="15" hidden="false" customHeight="false" outlineLevel="0" collapsed="false">
      <c r="A293" s="32"/>
      <c r="B293" s="29"/>
      <c r="C293" s="29"/>
      <c r="D293" s="25"/>
      <c r="E293" s="25"/>
      <c r="F293" s="18" t="str">
        <f aca="false">IF(AND(D293="",E293=""),"",'Danh mục'!$F$5+SUM($D$5:D293)-SUM($E$5:E293))</f>
        <v/>
      </c>
      <c r="G293" s="29"/>
      <c r="H293" s="33"/>
      <c r="I293" s="34"/>
    </row>
    <row r="294" customFormat="false" ht="15" hidden="false" customHeight="false" outlineLevel="0" collapsed="false">
      <c r="A294" s="32"/>
      <c r="B294" s="29"/>
      <c r="C294" s="29"/>
      <c r="D294" s="25"/>
      <c r="E294" s="25"/>
      <c r="F294" s="18" t="str">
        <f aca="false">IF(AND(D294="",E294=""),"",'Danh mục'!$F$5+SUM($D$5:D294)-SUM($E$5:E294))</f>
        <v/>
      </c>
      <c r="G294" s="29"/>
      <c r="H294" s="33"/>
      <c r="I294" s="34"/>
    </row>
    <row r="295" customFormat="false" ht="15" hidden="false" customHeight="false" outlineLevel="0" collapsed="false">
      <c r="A295" s="32"/>
      <c r="B295" s="29"/>
      <c r="C295" s="29"/>
      <c r="D295" s="25"/>
      <c r="E295" s="25"/>
      <c r="F295" s="18" t="str">
        <f aca="false">IF(AND(D295="",E295=""),"",'Danh mục'!$F$5+SUM($D$5:D295)-SUM($E$5:E295))</f>
        <v/>
      </c>
      <c r="G295" s="29"/>
      <c r="H295" s="33"/>
      <c r="I295" s="34"/>
    </row>
    <row r="296" customFormat="false" ht="15" hidden="false" customHeight="false" outlineLevel="0" collapsed="false">
      <c r="A296" s="32"/>
      <c r="B296" s="29"/>
      <c r="C296" s="29"/>
      <c r="D296" s="25"/>
      <c r="E296" s="25"/>
      <c r="F296" s="18" t="str">
        <f aca="false">IF(AND(D296="",E296=""),"",'Danh mục'!$F$5+SUM($D$5:D296)-SUM($E$5:E296))</f>
        <v/>
      </c>
      <c r="G296" s="29"/>
      <c r="H296" s="33"/>
      <c r="I296" s="34"/>
    </row>
    <row r="297" customFormat="false" ht="15" hidden="false" customHeight="false" outlineLevel="0" collapsed="false">
      <c r="A297" s="32"/>
      <c r="B297" s="29"/>
      <c r="C297" s="29"/>
      <c r="D297" s="25"/>
      <c r="E297" s="25"/>
      <c r="F297" s="18" t="str">
        <f aca="false">IF(AND(D297="",E297=""),"",'Danh mục'!$F$5+SUM($D$5:D297)-SUM($E$5:E297))</f>
        <v/>
      </c>
      <c r="G297" s="29"/>
      <c r="H297" s="33"/>
      <c r="I297" s="34"/>
    </row>
    <row r="298" customFormat="false" ht="15" hidden="false" customHeight="false" outlineLevel="0" collapsed="false">
      <c r="A298" s="32"/>
      <c r="B298" s="29"/>
      <c r="C298" s="29"/>
      <c r="D298" s="25"/>
      <c r="E298" s="25"/>
      <c r="F298" s="18" t="str">
        <f aca="false">IF(AND(D298="",E298=""),"",'Danh mục'!$F$5+SUM($D$5:D298)-SUM($E$5:E298))</f>
        <v/>
      </c>
      <c r="G298" s="29"/>
      <c r="H298" s="33"/>
      <c r="I298" s="34"/>
    </row>
    <row r="299" customFormat="false" ht="15" hidden="false" customHeight="false" outlineLevel="0" collapsed="false">
      <c r="A299" s="32"/>
      <c r="B299" s="29"/>
      <c r="C299" s="29"/>
      <c r="D299" s="25"/>
      <c r="E299" s="25"/>
      <c r="F299" s="18" t="str">
        <f aca="false">IF(AND(D299="",E299=""),"",'Danh mục'!$F$5+SUM($D$5:D299)-SUM($E$5:E299))</f>
        <v/>
      </c>
      <c r="G299" s="29"/>
      <c r="H299" s="33"/>
      <c r="I299" s="34"/>
    </row>
    <row r="300" customFormat="false" ht="15" hidden="false" customHeight="false" outlineLevel="0" collapsed="false">
      <c r="A300" s="32"/>
      <c r="B300" s="29"/>
      <c r="C300" s="29"/>
      <c r="D300" s="25"/>
      <c r="E300" s="25"/>
      <c r="F300" s="18" t="str">
        <f aca="false">IF(AND(D300="",E300=""),"",'Danh mục'!$F$5+SUM($D$5:D300)-SUM($E$5:E300))</f>
        <v/>
      </c>
      <c r="G300" s="29"/>
      <c r="H300" s="33"/>
      <c r="I300" s="34"/>
    </row>
    <row r="301" customFormat="false" ht="15" hidden="false" customHeight="false" outlineLevel="0" collapsed="false">
      <c r="A301" s="32"/>
      <c r="B301" s="29"/>
      <c r="C301" s="29"/>
      <c r="D301" s="25"/>
      <c r="E301" s="25"/>
      <c r="F301" s="18" t="str">
        <f aca="false">IF(AND(D301="",E301=""),"",'Danh mục'!$F$5+SUM($D$5:D301)-SUM($E$5:E301))</f>
        <v/>
      </c>
      <c r="G301" s="29"/>
      <c r="H301" s="33"/>
      <c r="I301" s="34"/>
    </row>
    <row r="302" customFormat="false" ht="15" hidden="false" customHeight="false" outlineLevel="0" collapsed="false">
      <c r="A302" s="32"/>
      <c r="B302" s="29"/>
      <c r="C302" s="29"/>
      <c r="D302" s="25"/>
      <c r="E302" s="25"/>
      <c r="F302" s="18" t="str">
        <f aca="false">IF(AND(D302="",E302=""),"",'Danh mục'!$F$5+SUM($D$5:D302)-SUM($E$5:E302))</f>
        <v/>
      </c>
      <c r="G302" s="29"/>
      <c r="H302" s="33"/>
      <c r="I302" s="34"/>
    </row>
    <row r="303" customFormat="false" ht="15" hidden="false" customHeight="false" outlineLevel="0" collapsed="false">
      <c r="A303" s="32"/>
      <c r="B303" s="29"/>
      <c r="C303" s="29"/>
      <c r="D303" s="25"/>
      <c r="E303" s="25"/>
      <c r="F303" s="18" t="str">
        <f aca="false">IF(AND(D303="",E303=""),"",'Danh mục'!$F$5+SUM($D$5:D303)-SUM($E$5:E303))</f>
        <v/>
      </c>
      <c r="G303" s="29"/>
      <c r="H303" s="33"/>
      <c r="I303" s="34"/>
    </row>
    <row r="304" customFormat="false" ht="15" hidden="false" customHeight="false" outlineLevel="0" collapsed="false">
      <c r="A304" s="32"/>
      <c r="B304" s="29"/>
      <c r="C304" s="29"/>
      <c r="D304" s="25"/>
      <c r="E304" s="25"/>
      <c r="F304" s="18" t="str">
        <f aca="false">IF(AND(D304="",E304=""),"",'Danh mục'!$F$5+SUM($D$5:D304)-SUM($E$5:E304))</f>
        <v/>
      </c>
      <c r="G304" s="29"/>
      <c r="H304" s="33"/>
      <c r="I304" s="34"/>
    </row>
    <row r="305" customFormat="false" ht="15" hidden="false" customHeight="false" outlineLevel="0" collapsed="false">
      <c r="A305" s="32"/>
      <c r="B305" s="29"/>
      <c r="C305" s="29"/>
      <c r="D305" s="25"/>
      <c r="E305" s="25"/>
      <c r="F305" s="18" t="str">
        <f aca="false">IF(AND(D305="",E305=""),"",'Danh mục'!$F$5+SUM($D$5:D305)-SUM($E$5:E305))</f>
        <v/>
      </c>
      <c r="G305" s="29"/>
      <c r="H305" s="33"/>
      <c r="I305" s="34"/>
    </row>
    <row r="306" customFormat="false" ht="15" hidden="false" customHeight="false" outlineLevel="0" collapsed="false">
      <c r="A306" s="32"/>
      <c r="B306" s="29"/>
      <c r="C306" s="29"/>
      <c r="D306" s="25"/>
      <c r="E306" s="25"/>
      <c r="F306" s="18" t="str">
        <f aca="false">IF(AND(D306="",E306=""),"",'Danh mục'!$F$5+SUM($D$5:D306)-SUM($E$5:E306))</f>
        <v/>
      </c>
      <c r="G306" s="29"/>
      <c r="H306" s="33"/>
      <c r="I306" s="34"/>
    </row>
    <row r="307" customFormat="false" ht="15" hidden="false" customHeight="false" outlineLevel="0" collapsed="false">
      <c r="A307" s="32"/>
      <c r="B307" s="29"/>
      <c r="C307" s="29"/>
      <c r="D307" s="25"/>
      <c r="E307" s="25"/>
      <c r="F307" s="18" t="str">
        <f aca="false">IF(AND(D307="",E307=""),"",'Danh mục'!$F$5+SUM($D$5:D307)-SUM($E$5:E307))</f>
        <v/>
      </c>
      <c r="G307" s="29"/>
      <c r="H307" s="33"/>
      <c r="I307" s="34"/>
    </row>
    <row r="308" customFormat="false" ht="15" hidden="false" customHeight="false" outlineLevel="0" collapsed="false">
      <c r="A308" s="32"/>
      <c r="B308" s="29"/>
      <c r="C308" s="29"/>
      <c r="D308" s="25"/>
      <c r="E308" s="25"/>
      <c r="F308" s="18" t="str">
        <f aca="false">IF(AND(D308="",E308=""),"",'Danh mục'!$F$5+SUM($D$5:D308)-SUM($E$5:E308))</f>
        <v/>
      </c>
      <c r="G308" s="29"/>
      <c r="H308" s="33"/>
      <c r="I308" s="34"/>
    </row>
    <row r="309" customFormat="false" ht="15" hidden="false" customHeight="false" outlineLevel="0" collapsed="false">
      <c r="A309" s="32"/>
      <c r="B309" s="29"/>
      <c r="C309" s="29"/>
      <c r="D309" s="25"/>
      <c r="E309" s="25"/>
      <c r="F309" s="18" t="str">
        <f aca="false">IF(AND(D309="",E309=""),"",'Danh mục'!$F$5+SUM($D$5:D309)-SUM($E$5:E309))</f>
        <v/>
      </c>
      <c r="G309" s="29"/>
      <c r="H309" s="33"/>
      <c r="I309" s="34"/>
    </row>
    <row r="310" customFormat="false" ht="15" hidden="false" customHeight="false" outlineLevel="0" collapsed="false">
      <c r="A310" s="32"/>
      <c r="B310" s="29"/>
      <c r="C310" s="29"/>
      <c r="D310" s="25"/>
      <c r="E310" s="25"/>
      <c r="F310" s="18" t="str">
        <f aca="false">IF(AND(D310="",E310=""),"",'Danh mục'!$F$5+SUM($D$5:D310)-SUM($E$5:E310))</f>
        <v/>
      </c>
      <c r="G310" s="29"/>
      <c r="H310" s="33"/>
      <c r="I310" s="34"/>
    </row>
    <row r="311" customFormat="false" ht="15" hidden="false" customHeight="false" outlineLevel="0" collapsed="false">
      <c r="A311" s="32"/>
      <c r="B311" s="29"/>
      <c r="C311" s="29"/>
      <c r="D311" s="25"/>
      <c r="E311" s="25"/>
      <c r="F311" s="18" t="str">
        <f aca="false">IF(AND(D311="",E311=""),"",'Danh mục'!$F$5+SUM($D$5:D311)-SUM($E$5:E311))</f>
        <v/>
      </c>
      <c r="G311" s="29"/>
      <c r="H311" s="33"/>
      <c r="I311" s="34"/>
    </row>
    <row r="312" customFormat="false" ht="15" hidden="false" customHeight="false" outlineLevel="0" collapsed="false">
      <c r="A312" s="32"/>
      <c r="B312" s="29"/>
      <c r="C312" s="29"/>
      <c r="D312" s="25"/>
      <c r="E312" s="25"/>
      <c r="F312" s="18" t="str">
        <f aca="false">IF(AND(D312="",E312=""),"",'Danh mục'!$F$5+SUM($D$5:D312)-SUM($E$5:E312))</f>
        <v/>
      </c>
      <c r="G312" s="29"/>
      <c r="H312" s="33"/>
      <c r="I312" s="34"/>
    </row>
    <row r="313" customFormat="false" ht="15" hidden="false" customHeight="false" outlineLevel="0" collapsed="false">
      <c r="A313" s="32"/>
      <c r="B313" s="29"/>
      <c r="C313" s="29"/>
      <c r="D313" s="25"/>
      <c r="E313" s="25"/>
      <c r="F313" s="18" t="str">
        <f aca="false">IF(AND(D313="",E313=""),"",'Danh mục'!$F$5+SUM($D$5:D313)-SUM($E$5:E313))</f>
        <v/>
      </c>
      <c r="G313" s="29"/>
      <c r="H313" s="33"/>
      <c r="I313" s="34"/>
    </row>
    <row r="314" customFormat="false" ht="15" hidden="false" customHeight="false" outlineLevel="0" collapsed="false">
      <c r="A314" s="32"/>
      <c r="B314" s="29"/>
      <c r="C314" s="29"/>
      <c r="D314" s="25"/>
      <c r="E314" s="25"/>
      <c r="F314" s="18" t="str">
        <f aca="false">IF(AND(D314="",E314=""),"",'Danh mục'!$F$5+SUM($D$5:D314)-SUM($E$5:E314))</f>
        <v/>
      </c>
      <c r="G314" s="29"/>
      <c r="H314" s="33"/>
      <c r="I314" s="34"/>
    </row>
    <row r="315" customFormat="false" ht="15" hidden="false" customHeight="false" outlineLevel="0" collapsed="false">
      <c r="A315" s="32"/>
      <c r="B315" s="29"/>
      <c r="C315" s="29"/>
      <c r="D315" s="25"/>
      <c r="E315" s="25"/>
      <c r="F315" s="18" t="str">
        <f aca="false">IF(AND(D315="",E315=""),"",'Danh mục'!$F$5+SUM($D$5:D315)-SUM($E$5:E315))</f>
        <v/>
      </c>
      <c r="G315" s="29"/>
      <c r="H315" s="33"/>
      <c r="I315" s="34"/>
    </row>
    <row r="316" customFormat="false" ht="15" hidden="false" customHeight="false" outlineLevel="0" collapsed="false">
      <c r="A316" s="32"/>
      <c r="B316" s="29"/>
      <c r="C316" s="29"/>
      <c r="D316" s="25"/>
      <c r="E316" s="25"/>
      <c r="F316" s="18" t="str">
        <f aca="false">IF(AND(D316="",E316=""),"",'Danh mục'!$F$5+SUM($D$5:D316)-SUM($E$5:E316))</f>
        <v/>
      </c>
      <c r="G316" s="29"/>
      <c r="H316" s="33"/>
      <c r="I316" s="34"/>
    </row>
    <row r="317" customFormat="false" ht="15" hidden="false" customHeight="false" outlineLevel="0" collapsed="false">
      <c r="A317" s="32"/>
      <c r="B317" s="29"/>
      <c r="C317" s="29"/>
      <c r="D317" s="25"/>
      <c r="E317" s="25"/>
      <c r="F317" s="18" t="str">
        <f aca="false">IF(AND(D317="",E317=""),"",'Danh mục'!$F$5+SUM($D$5:D317)-SUM($E$5:E317))</f>
        <v/>
      </c>
      <c r="G317" s="29"/>
      <c r="H317" s="33"/>
      <c r="I317" s="34"/>
    </row>
    <row r="318" customFormat="false" ht="15" hidden="false" customHeight="false" outlineLevel="0" collapsed="false">
      <c r="A318" s="32"/>
      <c r="B318" s="29"/>
      <c r="C318" s="29"/>
      <c r="D318" s="25"/>
      <c r="E318" s="25"/>
      <c r="F318" s="18" t="str">
        <f aca="false">IF(AND(D318="",E318=""),"",'Danh mục'!$F$5+SUM($D$5:D318)-SUM($E$5:E318))</f>
        <v/>
      </c>
      <c r="G318" s="29"/>
      <c r="H318" s="33"/>
      <c r="I318" s="34"/>
    </row>
    <row r="319" customFormat="false" ht="15" hidden="false" customHeight="false" outlineLevel="0" collapsed="false">
      <c r="A319" s="32"/>
      <c r="B319" s="29"/>
      <c r="C319" s="29"/>
      <c r="D319" s="25"/>
      <c r="E319" s="25"/>
      <c r="F319" s="18" t="str">
        <f aca="false">IF(AND(D319="",E319=""),"",'Danh mục'!$F$5+SUM($D$5:D319)-SUM($E$5:E319))</f>
        <v/>
      </c>
      <c r="G319" s="29"/>
      <c r="H319" s="33"/>
      <c r="I319" s="34"/>
    </row>
    <row r="320" customFormat="false" ht="15" hidden="false" customHeight="false" outlineLevel="0" collapsed="false">
      <c r="A320" s="32"/>
      <c r="B320" s="29"/>
      <c r="C320" s="29"/>
      <c r="D320" s="25"/>
      <c r="E320" s="25"/>
      <c r="F320" s="18" t="str">
        <f aca="false">IF(AND(D320="",E320=""),"",'Danh mục'!$F$5+SUM($D$5:D320)-SUM($E$5:E320))</f>
        <v/>
      </c>
      <c r="G320" s="29"/>
      <c r="H320" s="33"/>
      <c r="I320" s="34"/>
    </row>
    <row r="321" customFormat="false" ht="15" hidden="false" customHeight="false" outlineLevel="0" collapsed="false">
      <c r="A321" s="32"/>
      <c r="B321" s="29"/>
      <c r="C321" s="29"/>
      <c r="D321" s="25"/>
      <c r="E321" s="25"/>
      <c r="F321" s="18" t="str">
        <f aca="false">IF(AND(D321="",E321=""),"",'Danh mục'!$F$5+SUM($D$5:D321)-SUM($E$5:E321))</f>
        <v/>
      </c>
      <c r="G321" s="29"/>
      <c r="H321" s="33"/>
      <c r="I321" s="34"/>
    </row>
    <row r="322" customFormat="false" ht="15" hidden="false" customHeight="false" outlineLevel="0" collapsed="false">
      <c r="A322" s="32"/>
      <c r="B322" s="29"/>
      <c r="C322" s="29"/>
      <c r="D322" s="25"/>
      <c r="E322" s="25"/>
      <c r="F322" s="18" t="str">
        <f aca="false">IF(AND(D322="",E322=""),"",'Danh mục'!$F$5+SUM($D$5:D322)-SUM($E$5:E322))</f>
        <v/>
      </c>
      <c r="G322" s="29"/>
      <c r="H322" s="33"/>
      <c r="I322" s="34"/>
    </row>
    <row r="323" customFormat="false" ht="15" hidden="false" customHeight="false" outlineLevel="0" collapsed="false">
      <c r="A323" s="32"/>
      <c r="B323" s="29"/>
      <c r="C323" s="29"/>
      <c r="D323" s="25"/>
      <c r="E323" s="25"/>
      <c r="F323" s="18" t="str">
        <f aca="false">IF(AND(D323="",E323=""),"",'Danh mục'!$F$5+SUM($D$5:D323)-SUM($E$5:E323))</f>
        <v/>
      </c>
      <c r="G323" s="29"/>
      <c r="H323" s="33"/>
      <c r="I323" s="34"/>
    </row>
    <row r="324" customFormat="false" ht="15" hidden="false" customHeight="false" outlineLevel="0" collapsed="false">
      <c r="A324" s="32"/>
      <c r="B324" s="29"/>
      <c r="C324" s="29"/>
      <c r="D324" s="25"/>
      <c r="E324" s="25"/>
      <c r="F324" s="18" t="str">
        <f aca="false">IF(AND(D324="",E324=""),"",'Danh mục'!$F$5+SUM($D$5:D324)-SUM($E$5:E324))</f>
        <v/>
      </c>
      <c r="G324" s="29"/>
      <c r="H324" s="33"/>
      <c r="I324" s="34"/>
    </row>
    <row r="325" customFormat="false" ht="15" hidden="false" customHeight="false" outlineLevel="0" collapsed="false">
      <c r="A325" s="32"/>
      <c r="B325" s="29"/>
      <c r="C325" s="29"/>
      <c r="D325" s="25"/>
      <c r="E325" s="25"/>
      <c r="F325" s="18" t="str">
        <f aca="false">IF(AND(D325="",E325=""),"",'Danh mục'!$F$5+SUM($D$5:D325)-SUM($E$5:E325))</f>
        <v/>
      </c>
      <c r="G325" s="29"/>
      <c r="H325" s="33"/>
      <c r="I325" s="34"/>
    </row>
    <row r="326" customFormat="false" ht="15" hidden="false" customHeight="false" outlineLevel="0" collapsed="false">
      <c r="A326" s="32"/>
      <c r="B326" s="29"/>
      <c r="C326" s="29"/>
      <c r="D326" s="25"/>
      <c r="E326" s="25"/>
      <c r="F326" s="18" t="str">
        <f aca="false">IF(AND(D326="",E326=""),"",'Danh mục'!$F$5+SUM($D$5:D326)-SUM($E$5:E326))</f>
        <v/>
      </c>
      <c r="G326" s="29"/>
      <c r="H326" s="33"/>
      <c r="I326" s="34"/>
    </row>
    <row r="327" customFormat="false" ht="15" hidden="false" customHeight="false" outlineLevel="0" collapsed="false">
      <c r="A327" s="32"/>
      <c r="B327" s="29"/>
      <c r="C327" s="29"/>
      <c r="D327" s="25"/>
      <c r="E327" s="25"/>
      <c r="F327" s="18" t="str">
        <f aca="false">IF(AND(D327="",E327=""),"",'Danh mục'!$F$5+SUM($D$5:D327)-SUM($E$5:E327))</f>
        <v/>
      </c>
      <c r="G327" s="29"/>
      <c r="H327" s="33"/>
      <c r="I327" s="34"/>
    </row>
    <row r="328" customFormat="false" ht="15" hidden="false" customHeight="false" outlineLevel="0" collapsed="false">
      <c r="A328" s="32"/>
      <c r="B328" s="29"/>
      <c r="C328" s="29"/>
      <c r="D328" s="25"/>
      <c r="E328" s="25"/>
      <c r="F328" s="18" t="str">
        <f aca="false">IF(AND(D328="",E328=""),"",'Danh mục'!$F$5+SUM($D$5:D328)-SUM($E$5:E328))</f>
        <v/>
      </c>
      <c r="G328" s="29"/>
      <c r="H328" s="33"/>
      <c r="I328" s="34"/>
    </row>
    <row r="329" customFormat="false" ht="15" hidden="false" customHeight="false" outlineLevel="0" collapsed="false">
      <c r="A329" s="32"/>
      <c r="B329" s="29"/>
      <c r="C329" s="29"/>
      <c r="D329" s="25"/>
      <c r="E329" s="25"/>
      <c r="F329" s="18" t="str">
        <f aca="false">IF(AND(D329="",E329=""),"",'Danh mục'!$F$5+SUM($D$5:D329)-SUM($E$5:E329))</f>
        <v/>
      </c>
      <c r="G329" s="29"/>
      <c r="H329" s="33"/>
      <c r="I329" s="34"/>
    </row>
    <row r="330" customFormat="false" ht="15" hidden="false" customHeight="false" outlineLevel="0" collapsed="false">
      <c r="A330" s="32"/>
      <c r="B330" s="29"/>
      <c r="C330" s="29"/>
      <c r="D330" s="25"/>
      <c r="E330" s="25"/>
      <c r="F330" s="18" t="str">
        <f aca="false">IF(AND(D330="",E330=""),"",'Danh mục'!$F$5+SUM($D$5:D330)-SUM($E$5:E330))</f>
        <v/>
      </c>
      <c r="G330" s="29"/>
      <c r="H330" s="33"/>
      <c r="I330" s="34"/>
    </row>
    <row r="331" customFormat="false" ht="15" hidden="false" customHeight="false" outlineLevel="0" collapsed="false">
      <c r="A331" s="32"/>
      <c r="B331" s="29"/>
      <c r="C331" s="29"/>
      <c r="D331" s="25"/>
      <c r="E331" s="25"/>
      <c r="F331" s="18" t="str">
        <f aca="false">IF(AND(D331="",E331=""),"",'Danh mục'!$F$5+SUM($D$5:D331)-SUM($E$5:E331))</f>
        <v/>
      </c>
      <c r="G331" s="29"/>
      <c r="H331" s="33"/>
      <c r="I331" s="34"/>
    </row>
    <row r="332" customFormat="false" ht="15" hidden="false" customHeight="false" outlineLevel="0" collapsed="false">
      <c r="A332" s="32"/>
      <c r="B332" s="29"/>
      <c r="C332" s="29"/>
      <c r="D332" s="25"/>
      <c r="E332" s="25"/>
      <c r="F332" s="18" t="str">
        <f aca="false">IF(AND(D332="",E332=""),"",'Danh mục'!$F$5+SUM($D$5:D332)-SUM($E$5:E332))</f>
        <v/>
      </c>
      <c r="G332" s="29"/>
      <c r="H332" s="33"/>
      <c r="I332" s="34"/>
    </row>
    <row r="333" customFormat="false" ht="15" hidden="false" customHeight="false" outlineLevel="0" collapsed="false">
      <c r="A333" s="32"/>
      <c r="B333" s="29"/>
      <c r="C333" s="29"/>
      <c r="D333" s="25"/>
      <c r="E333" s="25"/>
      <c r="F333" s="18" t="str">
        <f aca="false">IF(AND(D333="",E333=""),"",'Danh mục'!$F$5+SUM($D$5:D333)-SUM($E$5:E333))</f>
        <v/>
      </c>
      <c r="G333" s="29"/>
      <c r="H333" s="33"/>
      <c r="I333" s="34"/>
    </row>
    <row r="334" customFormat="false" ht="15" hidden="false" customHeight="false" outlineLevel="0" collapsed="false">
      <c r="A334" s="32"/>
      <c r="B334" s="29"/>
      <c r="C334" s="29"/>
      <c r="D334" s="25"/>
      <c r="E334" s="25"/>
      <c r="F334" s="18" t="str">
        <f aca="false">IF(AND(D334="",E334=""),"",'Danh mục'!$F$5+SUM($D$5:D334)-SUM($E$5:E334))</f>
        <v/>
      </c>
      <c r="G334" s="29"/>
      <c r="H334" s="33"/>
      <c r="I334" s="34"/>
    </row>
    <row r="335" customFormat="false" ht="15" hidden="false" customHeight="false" outlineLevel="0" collapsed="false">
      <c r="A335" s="32"/>
      <c r="B335" s="29"/>
      <c r="C335" s="29"/>
      <c r="D335" s="25"/>
      <c r="E335" s="25"/>
      <c r="F335" s="18" t="str">
        <f aca="false">IF(AND(D335="",E335=""),"",'Danh mục'!$F$5+SUM($D$5:D335)-SUM($E$5:E335))</f>
        <v/>
      </c>
      <c r="G335" s="29"/>
      <c r="H335" s="33"/>
      <c r="I335" s="34"/>
    </row>
    <row r="336" customFormat="false" ht="15" hidden="false" customHeight="false" outlineLevel="0" collapsed="false">
      <c r="A336" s="32"/>
      <c r="B336" s="29"/>
      <c r="C336" s="29"/>
      <c r="D336" s="25"/>
      <c r="E336" s="25"/>
      <c r="F336" s="18" t="str">
        <f aca="false">IF(AND(D336="",E336=""),"",'Danh mục'!$F$5+SUM($D$5:D336)-SUM($E$5:E336))</f>
        <v/>
      </c>
      <c r="G336" s="29"/>
      <c r="H336" s="33"/>
      <c r="I336" s="34"/>
    </row>
    <row r="337" customFormat="false" ht="15" hidden="false" customHeight="false" outlineLevel="0" collapsed="false">
      <c r="A337" s="32"/>
      <c r="B337" s="29"/>
      <c r="C337" s="29"/>
      <c r="D337" s="25"/>
      <c r="E337" s="25"/>
      <c r="F337" s="18" t="str">
        <f aca="false">IF(AND(D337="",E337=""),"",'Danh mục'!$F$5+SUM($D$5:D337)-SUM($E$5:E337))</f>
        <v/>
      </c>
      <c r="G337" s="29"/>
      <c r="H337" s="33"/>
      <c r="I337" s="34"/>
    </row>
    <row r="338" customFormat="false" ht="15" hidden="false" customHeight="false" outlineLevel="0" collapsed="false">
      <c r="A338" s="32"/>
      <c r="B338" s="29"/>
      <c r="C338" s="29"/>
      <c r="D338" s="25"/>
      <c r="E338" s="25"/>
      <c r="F338" s="18" t="str">
        <f aca="false">IF(AND(D338="",E338=""),"",'Danh mục'!$F$5+SUM($D$5:D338)-SUM($E$5:E338))</f>
        <v/>
      </c>
      <c r="G338" s="29"/>
      <c r="H338" s="33"/>
      <c r="I338" s="34"/>
    </row>
    <row r="339" customFormat="false" ht="15" hidden="false" customHeight="false" outlineLevel="0" collapsed="false">
      <c r="A339" s="32"/>
      <c r="B339" s="29"/>
      <c r="C339" s="29"/>
      <c r="D339" s="25"/>
      <c r="E339" s="25"/>
      <c r="F339" s="18" t="str">
        <f aca="false">IF(AND(D339="",E339=""),"",'Danh mục'!$F$5+SUM($D$5:D339)-SUM($E$5:E339))</f>
        <v/>
      </c>
      <c r="G339" s="29"/>
      <c r="H339" s="33"/>
      <c r="I339" s="34"/>
    </row>
    <row r="340" customFormat="false" ht="15" hidden="false" customHeight="false" outlineLevel="0" collapsed="false">
      <c r="A340" s="32"/>
      <c r="B340" s="29"/>
      <c r="C340" s="29"/>
      <c r="D340" s="25"/>
      <c r="E340" s="25"/>
      <c r="F340" s="18" t="str">
        <f aca="false">IF(AND(D340="",E340=""),"",'Danh mục'!$F$5+SUM($D$5:D340)-SUM($E$5:E340))</f>
        <v/>
      </c>
      <c r="G340" s="29"/>
      <c r="H340" s="33"/>
      <c r="I340" s="34"/>
    </row>
    <row r="341" customFormat="false" ht="15" hidden="false" customHeight="false" outlineLevel="0" collapsed="false">
      <c r="A341" s="32"/>
      <c r="B341" s="29"/>
      <c r="C341" s="29"/>
      <c r="D341" s="25"/>
      <c r="E341" s="25"/>
      <c r="F341" s="18" t="str">
        <f aca="false">IF(AND(D341="",E341=""),"",'Danh mục'!$F$5+SUM($D$5:D341)-SUM($E$5:E341))</f>
        <v/>
      </c>
      <c r="G341" s="29"/>
      <c r="H341" s="33"/>
      <c r="I341" s="34"/>
    </row>
    <row r="342" customFormat="false" ht="15" hidden="false" customHeight="false" outlineLevel="0" collapsed="false">
      <c r="A342" s="32"/>
      <c r="B342" s="29"/>
      <c r="C342" s="29"/>
      <c r="D342" s="25"/>
      <c r="E342" s="25"/>
      <c r="F342" s="18" t="str">
        <f aca="false">IF(AND(D342="",E342=""),"",'Danh mục'!$F$5+SUM($D$5:D342)-SUM($E$5:E342))</f>
        <v/>
      </c>
      <c r="G342" s="29"/>
      <c r="H342" s="33"/>
      <c r="I342" s="34"/>
    </row>
    <row r="343" customFormat="false" ht="15" hidden="false" customHeight="false" outlineLevel="0" collapsed="false">
      <c r="A343" s="32"/>
      <c r="B343" s="29"/>
      <c r="C343" s="29"/>
      <c r="D343" s="25"/>
      <c r="E343" s="25"/>
      <c r="F343" s="18" t="str">
        <f aca="false">IF(AND(D343="",E343=""),"",'Danh mục'!$F$5+SUM($D$5:D343)-SUM($E$5:E343))</f>
        <v/>
      </c>
      <c r="G343" s="29"/>
      <c r="H343" s="33"/>
      <c r="I343" s="34"/>
    </row>
    <row r="344" customFormat="false" ht="15" hidden="false" customHeight="false" outlineLevel="0" collapsed="false">
      <c r="A344" s="32"/>
      <c r="B344" s="29"/>
      <c r="C344" s="29"/>
      <c r="D344" s="25"/>
      <c r="E344" s="25"/>
      <c r="F344" s="18" t="str">
        <f aca="false">IF(AND(D344="",E344=""),"",'Danh mục'!$F$5+SUM($D$5:D344)-SUM($E$5:E344))</f>
        <v/>
      </c>
      <c r="G344" s="29"/>
      <c r="H344" s="33"/>
      <c r="I344" s="34"/>
    </row>
    <row r="345" customFormat="false" ht="15" hidden="false" customHeight="false" outlineLevel="0" collapsed="false">
      <c r="A345" s="32"/>
      <c r="B345" s="29"/>
      <c r="C345" s="29"/>
      <c r="D345" s="25"/>
      <c r="E345" s="25"/>
      <c r="F345" s="18" t="str">
        <f aca="false">IF(AND(D345="",E345=""),"",'Danh mục'!$F$5+SUM($D$5:D345)-SUM($E$5:E345))</f>
        <v/>
      </c>
      <c r="G345" s="29"/>
      <c r="H345" s="33"/>
      <c r="I345" s="34"/>
    </row>
    <row r="346" customFormat="false" ht="15" hidden="false" customHeight="false" outlineLevel="0" collapsed="false">
      <c r="A346" s="32"/>
      <c r="B346" s="29"/>
      <c r="C346" s="29"/>
      <c r="D346" s="25"/>
      <c r="E346" s="25"/>
      <c r="F346" s="18" t="str">
        <f aca="false">IF(AND(D346="",E346=""),"",'Danh mục'!$F$5+SUM($D$5:D346)-SUM($E$5:E346))</f>
        <v/>
      </c>
      <c r="G346" s="29"/>
      <c r="H346" s="33"/>
      <c r="I346" s="34"/>
    </row>
    <row r="347" customFormat="false" ht="15" hidden="false" customHeight="false" outlineLevel="0" collapsed="false">
      <c r="A347" s="32"/>
      <c r="B347" s="29"/>
      <c r="C347" s="29"/>
      <c r="D347" s="25"/>
      <c r="E347" s="25"/>
      <c r="F347" s="18" t="str">
        <f aca="false">IF(AND(D347="",E347=""),"",'Danh mục'!$F$5+SUM($D$5:D347)-SUM($E$5:E347))</f>
        <v/>
      </c>
      <c r="G347" s="29"/>
      <c r="H347" s="33"/>
      <c r="I347" s="34"/>
    </row>
    <row r="348" customFormat="false" ht="15" hidden="false" customHeight="false" outlineLevel="0" collapsed="false">
      <c r="A348" s="32"/>
      <c r="B348" s="29"/>
      <c r="C348" s="29"/>
      <c r="D348" s="25"/>
      <c r="E348" s="25"/>
      <c r="F348" s="18" t="str">
        <f aca="false">IF(AND(D348="",E348=""),"",'Danh mục'!$F$5+SUM($D$5:D348)-SUM($E$5:E348))</f>
        <v/>
      </c>
      <c r="G348" s="29"/>
      <c r="H348" s="33"/>
      <c r="I348" s="34"/>
    </row>
    <row r="349" customFormat="false" ht="15" hidden="false" customHeight="false" outlineLevel="0" collapsed="false">
      <c r="A349" s="32"/>
      <c r="B349" s="29"/>
      <c r="C349" s="29"/>
      <c r="D349" s="25"/>
      <c r="E349" s="25"/>
      <c r="F349" s="18" t="str">
        <f aca="false">IF(AND(D349="",E349=""),"",'Danh mục'!$F$5+SUM($D$5:D349)-SUM($E$5:E349))</f>
        <v/>
      </c>
      <c r="G349" s="29"/>
      <c r="H349" s="33"/>
      <c r="I349" s="34"/>
    </row>
    <row r="350" customFormat="false" ht="15" hidden="false" customHeight="false" outlineLevel="0" collapsed="false">
      <c r="A350" s="32"/>
      <c r="B350" s="29"/>
      <c r="C350" s="29"/>
      <c r="D350" s="25"/>
      <c r="E350" s="25"/>
      <c r="F350" s="18" t="str">
        <f aca="false">IF(AND(D350="",E350=""),"",'Danh mục'!$F$5+SUM($D$5:D350)-SUM($E$5:E350))</f>
        <v/>
      </c>
      <c r="G350" s="29"/>
      <c r="H350" s="33"/>
      <c r="I350" s="34"/>
    </row>
    <row r="351" customFormat="false" ht="15" hidden="false" customHeight="false" outlineLevel="0" collapsed="false">
      <c r="A351" s="32"/>
      <c r="B351" s="29"/>
      <c r="C351" s="29"/>
      <c r="D351" s="25"/>
      <c r="E351" s="25"/>
      <c r="F351" s="18" t="str">
        <f aca="false">IF(AND(D351="",E351=""),"",'Danh mục'!$F$5+SUM($D$5:D351)-SUM($E$5:E351))</f>
        <v/>
      </c>
      <c r="G351" s="29"/>
      <c r="H351" s="33"/>
      <c r="I351" s="34"/>
    </row>
    <row r="352" customFormat="false" ht="15" hidden="false" customHeight="false" outlineLevel="0" collapsed="false">
      <c r="A352" s="32"/>
      <c r="B352" s="29"/>
      <c r="C352" s="29"/>
      <c r="D352" s="25"/>
      <c r="E352" s="25"/>
      <c r="F352" s="18" t="str">
        <f aca="false">IF(AND(D352="",E352=""),"",'Danh mục'!$F$5+SUM($D$5:D352)-SUM($E$5:E352))</f>
        <v/>
      </c>
      <c r="G352" s="29"/>
      <c r="H352" s="33"/>
      <c r="I352" s="34"/>
    </row>
    <row r="353" customFormat="false" ht="15" hidden="false" customHeight="false" outlineLevel="0" collapsed="false">
      <c r="A353" s="32"/>
      <c r="B353" s="29"/>
      <c r="C353" s="29"/>
      <c r="D353" s="25"/>
      <c r="E353" s="25"/>
      <c r="F353" s="18" t="str">
        <f aca="false">IF(AND(D353="",E353=""),"",'Danh mục'!$F$5+SUM($D$5:D353)-SUM($E$5:E353))</f>
        <v/>
      </c>
      <c r="G353" s="29"/>
      <c r="H353" s="33"/>
      <c r="I353" s="34"/>
    </row>
    <row r="354" customFormat="false" ht="15" hidden="false" customHeight="false" outlineLevel="0" collapsed="false">
      <c r="A354" s="32"/>
      <c r="B354" s="29"/>
      <c r="C354" s="29"/>
      <c r="D354" s="25"/>
      <c r="E354" s="25"/>
      <c r="F354" s="18" t="str">
        <f aca="false">IF(AND(D354="",E354=""),"",'Danh mục'!$F$5+SUM($D$5:D354)-SUM($E$5:E354))</f>
        <v/>
      </c>
      <c r="G354" s="29"/>
      <c r="H354" s="33"/>
      <c r="I354" s="34"/>
    </row>
    <row r="355" customFormat="false" ht="15" hidden="false" customHeight="false" outlineLevel="0" collapsed="false">
      <c r="A355" s="32"/>
      <c r="B355" s="29"/>
      <c r="C355" s="29"/>
      <c r="D355" s="25"/>
      <c r="E355" s="25"/>
      <c r="F355" s="18" t="str">
        <f aca="false">IF(AND(D355="",E355=""),"",'Danh mục'!$F$5+SUM($D$5:D355)-SUM($E$5:E355))</f>
        <v/>
      </c>
      <c r="G355" s="29"/>
      <c r="H355" s="33"/>
      <c r="I355" s="34"/>
    </row>
    <row r="356" customFormat="false" ht="15" hidden="false" customHeight="false" outlineLevel="0" collapsed="false">
      <c r="A356" s="32"/>
      <c r="B356" s="29"/>
      <c r="C356" s="29"/>
      <c r="D356" s="25"/>
      <c r="E356" s="25"/>
      <c r="F356" s="18" t="str">
        <f aca="false">IF(AND(D356="",E356=""),"",'Danh mục'!$F$5+SUM($D$5:D356)-SUM($E$5:E356))</f>
        <v/>
      </c>
      <c r="G356" s="29"/>
      <c r="H356" s="33"/>
      <c r="I356" s="34"/>
    </row>
    <row r="357" customFormat="false" ht="15" hidden="false" customHeight="false" outlineLevel="0" collapsed="false">
      <c r="A357" s="32"/>
      <c r="B357" s="29"/>
      <c r="C357" s="29"/>
      <c r="D357" s="25"/>
      <c r="E357" s="25"/>
      <c r="F357" s="18" t="str">
        <f aca="false">IF(AND(D357="",E357=""),"",'Danh mục'!$F$5+SUM($D$5:D357)-SUM($E$5:E357))</f>
        <v/>
      </c>
      <c r="G357" s="29"/>
      <c r="H357" s="33"/>
      <c r="I357" s="34"/>
    </row>
    <row r="358" customFormat="false" ht="15" hidden="false" customHeight="false" outlineLevel="0" collapsed="false">
      <c r="A358" s="32"/>
      <c r="B358" s="29"/>
      <c r="C358" s="29"/>
      <c r="D358" s="25"/>
      <c r="E358" s="25"/>
      <c r="F358" s="18" t="str">
        <f aca="false">IF(AND(D358="",E358=""),"",'Danh mục'!$F$5+SUM($D$5:D358)-SUM($E$5:E358))</f>
        <v/>
      </c>
      <c r="G358" s="29"/>
      <c r="H358" s="33"/>
      <c r="I358" s="34"/>
    </row>
    <row r="359" customFormat="false" ht="15" hidden="false" customHeight="false" outlineLevel="0" collapsed="false">
      <c r="A359" s="32"/>
      <c r="B359" s="29"/>
      <c r="C359" s="29"/>
      <c r="D359" s="25"/>
      <c r="E359" s="25"/>
      <c r="F359" s="18" t="str">
        <f aca="false">IF(AND(D359="",E359=""),"",'Danh mục'!$F$5+SUM($D$5:D359)-SUM($E$5:E359))</f>
        <v/>
      </c>
      <c r="G359" s="29"/>
      <c r="H359" s="33"/>
      <c r="I359" s="34"/>
    </row>
    <row r="360" customFormat="false" ht="15" hidden="false" customHeight="false" outlineLevel="0" collapsed="false">
      <c r="A360" s="32"/>
      <c r="B360" s="29"/>
      <c r="C360" s="29"/>
      <c r="D360" s="25"/>
      <c r="E360" s="25"/>
      <c r="F360" s="18" t="str">
        <f aca="false">IF(AND(D360="",E360=""),"",'Danh mục'!$F$5+SUM($D$5:D360)-SUM($E$5:E360))</f>
        <v/>
      </c>
      <c r="G360" s="29"/>
      <c r="H360" s="33"/>
      <c r="I360" s="34"/>
    </row>
    <row r="361" customFormat="false" ht="15" hidden="false" customHeight="false" outlineLevel="0" collapsed="false">
      <c r="A361" s="32"/>
      <c r="B361" s="29"/>
      <c r="C361" s="29"/>
      <c r="D361" s="25"/>
      <c r="E361" s="25"/>
      <c r="F361" s="18" t="str">
        <f aca="false">IF(AND(D361="",E361=""),"",'Danh mục'!$F$5+SUM($D$5:D361)-SUM($E$5:E361))</f>
        <v/>
      </c>
      <c r="G361" s="29"/>
      <c r="H361" s="33"/>
      <c r="I361" s="34"/>
    </row>
    <row r="362" customFormat="false" ht="15" hidden="false" customHeight="false" outlineLevel="0" collapsed="false">
      <c r="A362" s="32"/>
      <c r="B362" s="29"/>
      <c r="C362" s="29"/>
      <c r="D362" s="25"/>
      <c r="E362" s="25"/>
      <c r="F362" s="18" t="str">
        <f aca="false">IF(AND(D362="",E362=""),"",'Danh mục'!$F$5+SUM($D$5:D362)-SUM($E$5:E362))</f>
        <v/>
      </c>
      <c r="G362" s="29"/>
      <c r="H362" s="33"/>
      <c r="I362" s="34"/>
    </row>
    <row r="363" customFormat="false" ht="15" hidden="false" customHeight="false" outlineLevel="0" collapsed="false">
      <c r="A363" s="32"/>
      <c r="B363" s="29"/>
      <c r="C363" s="29"/>
      <c r="D363" s="25"/>
      <c r="E363" s="25"/>
      <c r="F363" s="18" t="str">
        <f aca="false">IF(AND(D363="",E363=""),"",'Danh mục'!$F$5+SUM($D$5:D363)-SUM($E$5:E363))</f>
        <v/>
      </c>
      <c r="G363" s="29"/>
      <c r="H363" s="33"/>
      <c r="I363" s="34"/>
    </row>
    <row r="364" customFormat="false" ht="15" hidden="false" customHeight="false" outlineLevel="0" collapsed="false">
      <c r="A364" s="32"/>
      <c r="B364" s="29"/>
      <c r="C364" s="29"/>
      <c r="D364" s="25"/>
      <c r="E364" s="25"/>
      <c r="F364" s="18" t="str">
        <f aca="false">IF(AND(D364="",E364=""),"",'Danh mục'!$F$5+SUM($D$5:D364)-SUM($E$5:E364))</f>
        <v/>
      </c>
      <c r="G364" s="29"/>
      <c r="H364" s="33"/>
      <c r="I364" s="34"/>
    </row>
    <row r="365" customFormat="false" ht="15" hidden="false" customHeight="false" outlineLevel="0" collapsed="false">
      <c r="A365" s="32"/>
      <c r="B365" s="29"/>
      <c r="C365" s="29"/>
      <c r="D365" s="25"/>
      <c r="E365" s="25"/>
      <c r="F365" s="18" t="str">
        <f aca="false">IF(AND(D365="",E365=""),"",'Danh mục'!$F$5+SUM($D$5:D365)-SUM($E$5:E365))</f>
        <v/>
      </c>
      <c r="G365" s="29"/>
      <c r="H365" s="33"/>
      <c r="I365" s="34"/>
    </row>
    <row r="366" customFormat="false" ht="15" hidden="false" customHeight="false" outlineLevel="0" collapsed="false">
      <c r="A366" s="32"/>
      <c r="B366" s="29"/>
      <c r="C366" s="29"/>
      <c r="D366" s="25"/>
      <c r="E366" s="25"/>
      <c r="F366" s="18" t="str">
        <f aca="false">IF(AND(D366="",E366=""),"",'Danh mục'!$F$5+SUM($D$5:D366)-SUM($E$5:E366))</f>
        <v/>
      </c>
      <c r="G366" s="29"/>
      <c r="H366" s="33"/>
      <c r="I366" s="34"/>
    </row>
    <row r="367" customFormat="false" ht="15" hidden="false" customHeight="false" outlineLevel="0" collapsed="false">
      <c r="A367" s="32"/>
      <c r="B367" s="29"/>
      <c r="C367" s="29"/>
      <c r="D367" s="25"/>
      <c r="E367" s="25"/>
      <c r="F367" s="18" t="str">
        <f aca="false">IF(AND(D367="",E367=""),"",'Danh mục'!$F$5+SUM($D$5:D367)-SUM($E$5:E367))</f>
        <v/>
      </c>
      <c r="G367" s="29"/>
      <c r="H367" s="33"/>
      <c r="I367" s="34"/>
    </row>
    <row r="368" customFormat="false" ht="15" hidden="false" customHeight="false" outlineLevel="0" collapsed="false">
      <c r="A368" s="32"/>
      <c r="B368" s="29"/>
      <c r="C368" s="29"/>
      <c r="D368" s="25"/>
      <c r="E368" s="25"/>
      <c r="F368" s="18" t="str">
        <f aca="false">IF(AND(D368="",E368=""),"",'Danh mục'!$F$5+SUM($D$5:D368)-SUM($E$5:E368))</f>
        <v/>
      </c>
      <c r="G368" s="29"/>
      <c r="H368" s="33"/>
      <c r="I368" s="34"/>
    </row>
    <row r="369" customFormat="false" ht="15" hidden="false" customHeight="false" outlineLevel="0" collapsed="false">
      <c r="A369" s="32"/>
      <c r="B369" s="29"/>
      <c r="C369" s="29"/>
      <c r="D369" s="25"/>
      <c r="E369" s="25"/>
      <c r="F369" s="18" t="str">
        <f aca="false">IF(AND(D369="",E369=""),"",'Danh mục'!$F$5+SUM($D$5:D369)-SUM($E$5:E369))</f>
        <v/>
      </c>
      <c r="G369" s="29"/>
      <c r="H369" s="33"/>
      <c r="I369" s="34"/>
    </row>
    <row r="370" customFormat="false" ht="15" hidden="false" customHeight="false" outlineLevel="0" collapsed="false">
      <c r="A370" s="32"/>
      <c r="B370" s="29"/>
      <c r="C370" s="29"/>
      <c r="D370" s="25"/>
      <c r="E370" s="25"/>
      <c r="F370" s="18" t="str">
        <f aca="false">IF(AND(D370="",E370=""),"",'Danh mục'!$F$5+SUM($D$5:D370)-SUM($E$5:E370))</f>
        <v/>
      </c>
      <c r="G370" s="29"/>
      <c r="H370" s="33"/>
      <c r="I370" s="34"/>
    </row>
    <row r="371" customFormat="false" ht="15" hidden="false" customHeight="false" outlineLevel="0" collapsed="false">
      <c r="A371" s="32"/>
      <c r="B371" s="29"/>
      <c r="C371" s="29"/>
      <c r="D371" s="25"/>
      <c r="E371" s="25"/>
      <c r="F371" s="18" t="str">
        <f aca="false">IF(AND(D371="",E371=""),"",'Danh mục'!$F$5+SUM($D$5:D371)-SUM($E$5:E371))</f>
        <v/>
      </c>
      <c r="G371" s="29"/>
      <c r="H371" s="33"/>
      <c r="I371" s="34"/>
    </row>
    <row r="372" customFormat="false" ht="15" hidden="false" customHeight="false" outlineLevel="0" collapsed="false">
      <c r="A372" s="32"/>
      <c r="B372" s="29"/>
      <c r="C372" s="29"/>
      <c r="D372" s="25"/>
      <c r="E372" s="25"/>
      <c r="F372" s="18" t="str">
        <f aca="false">IF(AND(D372="",E372=""),"",'Danh mục'!$F$5+SUM($D$5:D372)-SUM($E$5:E372))</f>
        <v/>
      </c>
      <c r="G372" s="29"/>
      <c r="H372" s="33"/>
      <c r="I372" s="34"/>
    </row>
    <row r="373" customFormat="false" ht="15" hidden="false" customHeight="false" outlineLevel="0" collapsed="false">
      <c r="A373" s="32"/>
      <c r="B373" s="29"/>
      <c r="C373" s="29"/>
      <c r="D373" s="25"/>
      <c r="E373" s="25"/>
      <c r="F373" s="18" t="str">
        <f aca="false">IF(AND(D373="",E373=""),"",'Danh mục'!$F$5+SUM($D$5:D373)-SUM($E$5:E373))</f>
        <v/>
      </c>
      <c r="G373" s="29"/>
      <c r="H373" s="33"/>
      <c r="I373" s="34"/>
    </row>
    <row r="374" customFormat="false" ht="15" hidden="false" customHeight="false" outlineLevel="0" collapsed="false">
      <c r="A374" s="32"/>
      <c r="B374" s="29"/>
      <c r="C374" s="29"/>
      <c r="D374" s="25"/>
      <c r="E374" s="25"/>
      <c r="F374" s="18" t="str">
        <f aca="false">IF(AND(D374="",E374=""),"",'Danh mục'!$F$5+SUM($D$5:D374)-SUM($E$5:E374))</f>
        <v/>
      </c>
      <c r="G374" s="29"/>
      <c r="H374" s="33"/>
      <c r="I374" s="34"/>
    </row>
    <row r="375" customFormat="false" ht="15" hidden="false" customHeight="false" outlineLevel="0" collapsed="false">
      <c r="A375" s="32"/>
      <c r="B375" s="29"/>
      <c r="C375" s="29"/>
      <c r="D375" s="25"/>
      <c r="E375" s="25"/>
      <c r="F375" s="18" t="str">
        <f aca="false">IF(AND(D375="",E375=""),"",'Danh mục'!$F$5+SUM($D$5:D375)-SUM($E$5:E375))</f>
        <v/>
      </c>
      <c r="G375" s="29"/>
      <c r="H375" s="33"/>
      <c r="I375" s="34"/>
    </row>
    <row r="376" customFormat="false" ht="15" hidden="false" customHeight="false" outlineLevel="0" collapsed="false">
      <c r="A376" s="32"/>
      <c r="B376" s="29"/>
      <c r="C376" s="29"/>
      <c r="D376" s="25"/>
      <c r="E376" s="25"/>
      <c r="F376" s="18" t="str">
        <f aca="false">IF(AND(D376="",E376=""),"",'Danh mục'!$F$5+SUM($D$5:D376)-SUM($E$5:E376))</f>
        <v/>
      </c>
      <c r="G376" s="29"/>
      <c r="H376" s="33"/>
      <c r="I376" s="34"/>
    </row>
    <row r="377" customFormat="false" ht="15" hidden="false" customHeight="false" outlineLevel="0" collapsed="false">
      <c r="A377" s="32"/>
      <c r="B377" s="29"/>
      <c r="C377" s="29"/>
      <c r="D377" s="25"/>
      <c r="E377" s="25"/>
      <c r="F377" s="18" t="str">
        <f aca="false">IF(AND(D377="",E377=""),"",'Danh mục'!$F$5+SUM($D$5:D377)-SUM($E$5:E377))</f>
        <v/>
      </c>
      <c r="G377" s="29"/>
      <c r="H377" s="33"/>
      <c r="I377" s="34"/>
    </row>
    <row r="378" customFormat="false" ht="15" hidden="false" customHeight="false" outlineLevel="0" collapsed="false">
      <c r="A378" s="32"/>
      <c r="B378" s="29"/>
      <c r="C378" s="29"/>
      <c r="D378" s="25"/>
      <c r="E378" s="25"/>
      <c r="F378" s="18" t="str">
        <f aca="false">IF(AND(D378="",E378=""),"",'Danh mục'!$F$5+SUM($D$5:D378)-SUM($E$5:E378))</f>
        <v/>
      </c>
      <c r="G378" s="29"/>
      <c r="H378" s="33"/>
      <c r="I378" s="34"/>
    </row>
    <row r="379" customFormat="false" ht="15" hidden="false" customHeight="false" outlineLevel="0" collapsed="false">
      <c r="A379" s="32"/>
      <c r="B379" s="29"/>
      <c r="C379" s="29"/>
      <c r="D379" s="25"/>
      <c r="E379" s="25"/>
      <c r="F379" s="18" t="str">
        <f aca="false">IF(AND(D379="",E379=""),"",'Danh mục'!$F$5+SUM($D$5:D379)-SUM($E$5:E379))</f>
        <v/>
      </c>
      <c r="G379" s="29"/>
      <c r="H379" s="33"/>
      <c r="I379" s="34"/>
    </row>
    <row r="380" customFormat="false" ht="15" hidden="false" customHeight="false" outlineLevel="0" collapsed="false">
      <c r="A380" s="32"/>
      <c r="B380" s="29"/>
      <c r="C380" s="29"/>
      <c r="D380" s="25"/>
      <c r="E380" s="25"/>
      <c r="F380" s="18" t="str">
        <f aca="false">IF(AND(D380="",E380=""),"",'Danh mục'!$F$5+SUM($D$5:D380)-SUM($E$5:E380))</f>
        <v/>
      </c>
      <c r="G380" s="29"/>
      <c r="H380" s="33"/>
      <c r="I380" s="34"/>
    </row>
    <row r="381" customFormat="false" ht="15" hidden="false" customHeight="false" outlineLevel="0" collapsed="false">
      <c r="A381" s="32"/>
      <c r="B381" s="29"/>
      <c r="C381" s="29"/>
      <c r="D381" s="25"/>
      <c r="E381" s="25"/>
      <c r="F381" s="18" t="str">
        <f aca="false">IF(AND(D381="",E381=""),"",'Danh mục'!$F$5+SUM($D$5:D381)-SUM($E$5:E381))</f>
        <v/>
      </c>
      <c r="G381" s="29"/>
      <c r="H381" s="33"/>
      <c r="I381" s="34"/>
    </row>
    <row r="382" customFormat="false" ht="15" hidden="false" customHeight="false" outlineLevel="0" collapsed="false">
      <c r="A382" s="32"/>
      <c r="B382" s="29"/>
      <c r="C382" s="29"/>
      <c r="D382" s="25"/>
      <c r="E382" s="25"/>
      <c r="F382" s="18" t="str">
        <f aca="false">IF(AND(D382="",E382=""),"",'Danh mục'!$F$5+SUM($D$5:D382)-SUM($E$5:E382))</f>
        <v/>
      </c>
      <c r="G382" s="29"/>
      <c r="H382" s="33"/>
      <c r="I382" s="34"/>
    </row>
    <row r="383" customFormat="false" ht="15" hidden="false" customHeight="false" outlineLevel="0" collapsed="false">
      <c r="A383" s="32"/>
      <c r="B383" s="29"/>
      <c r="C383" s="29"/>
      <c r="D383" s="25"/>
      <c r="E383" s="25"/>
      <c r="F383" s="18" t="str">
        <f aca="false">IF(AND(D383="",E383=""),"",'Danh mục'!$F$5+SUM($D$5:D383)-SUM($E$5:E383))</f>
        <v/>
      </c>
      <c r="G383" s="29"/>
      <c r="H383" s="33"/>
      <c r="I383" s="34"/>
    </row>
    <row r="384" customFormat="false" ht="15" hidden="false" customHeight="false" outlineLevel="0" collapsed="false">
      <c r="A384" s="32"/>
      <c r="B384" s="29"/>
      <c r="C384" s="29"/>
      <c r="D384" s="25"/>
      <c r="E384" s="25"/>
      <c r="F384" s="18" t="str">
        <f aca="false">IF(AND(D384="",E384=""),"",'Danh mục'!$F$5+SUM($D$5:D384)-SUM($E$5:E384))</f>
        <v/>
      </c>
      <c r="G384" s="29"/>
      <c r="H384" s="33"/>
      <c r="I384" s="34"/>
    </row>
    <row r="385" customFormat="false" ht="15" hidden="false" customHeight="false" outlineLevel="0" collapsed="false">
      <c r="A385" s="32"/>
      <c r="B385" s="29"/>
      <c r="C385" s="29"/>
      <c r="D385" s="25"/>
      <c r="E385" s="25"/>
      <c r="F385" s="18" t="str">
        <f aca="false">IF(AND(D385="",E385=""),"",'Danh mục'!$F$5+SUM($D$5:D385)-SUM($E$5:E385))</f>
        <v/>
      </c>
      <c r="G385" s="29"/>
      <c r="H385" s="33"/>
      <c r="I385" s="34"/>
    </row>
    <row r="386" customFormat="false" ht="15" hidden="false" customHeight="false" outlineLevel="0" collapsed="false">
      <c r="A386" s="32"/>
      <c r="B386" s="29"/>
      <c r="C386" s="29"/>
      <c r="D386" s="25"/>
      <c r="E386" s="25"/>
      <c r="F386" s="18" t="str">
        <f aca="false">IF(AND(D386="",E386=""),"",'Danh mục'!$F$5+SUM($D$5:D386)-SUM($E$5:E386))</f>
        <v/>
      </c>
      <c r="G386" s="29"/>
      <c r="H386" s="33"/>
      <c r="I386" s="34"/>
    </row>
    <row r="387" customFormat="false" ht="15" hidden="false" customHeight="false" outlineLevel="0" collapsed="false">
      <c r="A387" s="32"/>
      <c r="B387" s="29"/>
      <c r="C387" s="29"/>
      <c r="D387" s="25"/>
      <c r="E387" s="25"/>
      <c r="F387" s="18" t="str">
        <f aca="false">IF(AND(D387="",E387=""),"",'Danh mục'!$F$5+SUM($D$5:D387)-SUM($E$5:E387))</f>
        <v/>
      </c>
      <c r="G387" s="29"/>
      <c r="H387" s="33"/>
      <c r="I387" s="34"/>
    </row>
    <row r="388" customFormat="false" ht="15" hidden="false" customHeight="false" outlineLevel="0" collapsed="false">
      <c r="A388" s="32"/>
      <c r="B388" s="29"/>
      <c r="C388" s="29"/>
      <c r="D388" s="25"/>
      <c r="E388" s="25"/>
      <c r="F388" s="18" t="str">
        <f aca="false">IF(AND(D388="",E388=""),"",'Danh mục'!$F$5+SUM($D$5:D388)-SUM($E$5:E388))</f>
        <v/>
      </c>
      <c r="G388" s="29"/>
      <c r="H388" s="33"/>
      <c r="I388" s="34"/>
    </row>
    <row r="389" customFormat="false" ht="15" hidden="false" customHeight="false" outlineLevel="0" collapsed="false">
      <c r="A389" s="32"/>
      <c r="B389" s="29"/>
      <c r="C389" s="29"/>
      <c r="D389" s="25"/>
      <c r="E389" s="25"/>
      <c r="F389" s="18" t="str">
        <f aca="false">IF(AND(D389="",E389=""),"",'Danh mục'!$F$5+SUM($D$5:D389)-SUM($E$5:E389))</f>
        <v/>
      </c>
      <c r="G389" s="29"/>
      <c r="H389" s="33"/>
      <c r="I389" s="34"/>
    </row>
    <row r="390" customFormat="false" ht="15" hidden="false" customHeight="false" outlineLevel="0" collapsed="false">
      <c r="A390" s="32"/>
      <c r="B390" s="29"/>
      <c r="C390" s="29"/>
      <c r="D390" s="25"/>
      <c r="E390" s="25"/>
      <c r="F390" s="18" t="str">
        <f aca="false">IF(AND(D390="",E390=""),"",'Danh mục'!$F$5+SUM($D$5:D390)-SUM($E$5:E390))</f>
        <v/>
      </c>
      <c r="G390" s="29"/>
      <c r="H390" s="33"/>
      <c r="I390" s="34"/>
    </row>
    <row r="391" customFormat="false" ht="15" hidden="false" customHeight="false" outlineLevel="0" collapsed="false">
      <c r="A391" s="32"/>
      <c r="B391" s="29"/>
      <c r="C391" s="29"/>
      <c r="D391" s="25"/>
      <c r="E391" s="25"/>
      <c r="F391" s="18" t="str">
        <f aca="false">IF(AND(D391="",E391=""),"",'Danh mục'!$F$5+SUM($D$5:D391)-SUM($E$5:E391))</f>
        <v/>
      </c>
      <c r="G391" s="29"/>
      <c r="H391" s="33"/>
      <c r="I391" s="34"/>
    </row>
    <row r="392" customFormat="false" ht="15" hidden="false" customHeight="false" outlineLevel="0" collapsed="false">
      <c r="A392" s="32"/>
      <c r="B392" s="29"/>
      <c r="C392" s="29"/>
      <c r="D392" s="25"/>
      <c r="E392" s="25"/>
      <c r="F392" s="18" t="str">
        <f aca="false">IF(AND(D392="",E392=""),"",'Danh mục'!$F$5+SUM($D$5:D392)-SUM($E$5:E392))</f>
        <v/>
      </c>
      <c r="G392" s="29"/>
      <c r="H392" s="33"/>
      <c r="I392" s="34"/>
    </row>
    <row r="393" customFormat="false" ht="15" hidden="false" customHeight="false" outlineLevel="0" collapsed="false">
      <c r="A393" s="32"/>
      <c r="B393" s="29"/>
      <c r="C393" s="29"/>
      <c r="D393" s="25"/>
      <c r="E393" s="25"/>
      <c r="F393" s="18" t="str">
        <f aca="false">IF(AND(D393="",E393=""),"",'Danh mục'!$F$5+SUM($D$5:D393)-SUM($E$5:E393))</f>
        <v/>
      </c>
      <c r="G393" s="29"/>
      <c r="H393" s="33"/>
      <c r="I393" s="34"/>
    </row>
    <row r="394" customFormat="false" ht="15" hidden="false" customHeight="false" outlineLevel="0" collapsed="false">
      <c r="A394" s="32"/>
      <c r="B394" s="29"/>
      <c r="C394" s="29"/>
      <c r="D394" s="25"/>
      <c r="E394" s="25"/>
      <c r="F394" s="18" t="str">
        <f aca="false">IF(AND(D394="",E394=""),"",'Danh mục'!$F$5+SUM($D$5:D394)-SUM($E$5:E394))</f>
        <v/>
      </c>
      <c r="G394" s="29"/>
      <c r="H394" s="33"/>
      <c r="I394" s="34"/>
    </row>
    <row r="395" customFormat="false" ht="15" hidden="false" customHeight="false" outlineLevel="0" collapsed="false">
      <c r="A395" s="32"/>
      <c r="B395" s="29"/>
      <c r="C395" s="29"/>
      <c r="D395" s="25"/>
      <c r="E395" s="25"/>
      <c r="F395" s="18" t="str">
        <f aca="false">IF(AND(D395="",E395=""),"",'Danh mục'!$F$5+SUM($D$5:D395)-SUM($E$5:E395))</f>
        <v/>
      </c>
      <c r="G395" s="29"/>
      <c r="H395" s="33"/>
      <c r="I395" s="34"/>
    </row>
    <row r="396" customFormat="false" ht="15" hidden="false" customHeight="false" outlineLevel="0" collapsed="false">
      <c r="A396" s="32"/>
      <c r="B396" s="29"/>
      <c r="C396" s="29"/>
      <c r="D396" s="25"/>
      <c r="E396" s="25"/>
      <c r="F396" s="18" t="str">
        <f aca="false">IF(AND(D396="",E396=""),"",'Danh mục'!$F$5+SUM($D$5:D396)-SUM($E$5:E396))</f>
        <v/>
      </c>
      <c r="G396" s="29"/>
      <c r="H396" s="33"/>
      <c r="I396" s="34"/>
    </row>
    <row r="397" customFormat="false" ht="15" hidden="false" customHeight="false" outlineLevel="0" collapsed="false">
      <c r="A397" s="32"/>
      <c r="B397" s="29"/>
      <c r="C397" s="29"/>
      <c r="D397" s="25"/>
      <c r="E397" s="25"/>
      <c r="F397" s="18" t="str">
        <f aca="false">IF(AND(D397="",E397=""),"",'Danh mục'!$F$5+SUM($D$5:D397)-SUM($E$5:E397))</f>
        <v/>
      </c>
      <c r="G397" s="29"/>
      <c r="H397" s="33"/>
      <c r="I397" s="34"/>
    </row>
    <row r="398" customFormat="false" ht="15" hidden="false" customHeight="false" outlineLevel="0" collapsed="false">
      <c r="A398" s="32"/>
      <c r="B398" s="29"/>
      <c r="C398" s="29"/>
      <c r="D398" s="25"/>
      <c r="E398" s="25"/>
      <c r="F398" s="18" t="str">
        <f aca="false">IF(AND(D398="",E398=""),"",'Danh mục'!$F$5+SUM($D$5:D398)-SUM($E$5:E398))</f>
        <v/>
      </c>
      <c r="G398" s="29"/>
      <c r="H398" s="33"/>
      <c r="I398" s="34"/>
    </row>
    <row r="399" customFormat="false" ht="15" hidden="false" customHeight="false" outlineLevel="0" collapsed="false">
      <c r="A399" s="32"/>
      <c r="B399" s="29"/>
      <c r="C399" s="29"/>
      <c r="D399" s="25"/>
      <c r="E399" s="25"/>
      <c r="F399" s="18" t="str">
        <f aca="false">IF(AND(D399="",E399=""),"",'Danh mục'!$F$5+SUM($D$5:D399)-SUM($E$5:E399))</f>
        <v/>
      </c>
      <c r="G399" s="29"/>
      <c r="H399" s="33"/>
      <c r="I399" s="34"/>
    </row>
    <row r="400" customFormat="false" ht="15" hidden="false" customHeight="false" outlineLevel="0" collapsed="false">
      <c r="A400" s="32"/>
      <c r="B400" s="29"/>
      <c r="C400" s="29"/>
      <c r="D400" s="25"/>
      <c r="E400" s="25"/>
      <c r="F400" s="18" t="str">
        <f aca="false">IF(AND(D400="",E400=""),"",'Danh mục'!$F$5+SUM($D$5:D400)-SUM($E$5:E400))</f>
        <v/>
      </c>
      <c r="G400" s="29"/>
      <c r="H400" s="33"/>
      <c r="I400" s="34"/>
    </row>
    <row r="401" customFormat="false" ht="15" hidden="false" customHeight="false" outlineLevel="0" collapsed="false">
      <c r="A401" s="32"/>
      <c r="B401" s="29"/>
      <c r="C401" s="29"/>
      <c r="D401" s="25"/>
      <c r="E401" s="25"/>
      <c r="F401" s="18" t="str">
        <f aca="false">IF(AND(D401="",E401=""),"",'Danh mục'!$F$5+SUM($D$5:D401)-SUM($E$5:E401))</f>
        <v/>
      </c>
      <c r="G401" s="29"/>
      <c r="H401" s="33"/>
      <c r="I401" s="34"/>
    </row>
    <row r="402" customFormat="false" ht="15" hidden="false" customHeight="false" outlineLevel="0" collapsed="false">
      <c r="A402" s="32"/>
      <c r="B402" s="29"/>
      <c r="C402" s="29"/>
      <c r="D402" s="25"/>
      <c r="E402" s="25"/>
      <c r="F402" s="18" t="str">
        <f aca="false">IF(AND(D402="",E402=""),"",'Danh mục'!$F$5+SUM($D$5:D402)-SUM($E$5:E402))</f>
        <v/>
      </c>
      <c r="G402" s="29"/>
      <c r="H402" s="33"/>
      <c r="I402" s="34"/>
    </row>
    <row r="403" customFormat="false" ht="15" hidden="false" customHeight="false" outlineLevel="0" collapsed="false">
      <c r="A403" s="32"/>
      <c r="B403" s="29"/>
      <c r="C403" s="29"/>
      <c r="D403" s="25"/>
      <c r="E403" s="25"/>
      <c r="F403" s="18" t="str">
        <f aca="false">IF(AND(D403="",E403=""),"",'Danh mục'!$F$5+SUM($D$5:D403)-SUM($E$5:E403))</f>
        <v/>
      </c>
      <c r="G403" s="29"/>
      <c r="H403" s="33"/>
      <c r="I403" s="34"/>
    </row>
    <row r="404" customFormat="false" ht="15" hidden="false" customHeight="false" outlineLevel="0" collapsed="false">
      <c r="A404" s="32"/>
      <c r="B404" s="29"/>
      <c r="C404" s="29"/>
      <c r="D404" s="25"/>
      <c r="E404" s="25"/>
      <c r="F404" s="18" t="str">
        <f aca="false">IF(AND(D404="",E404=""),"",'Danh mục'!$F$5+SUM($D$5:D404)-SUM($E$5:E404))</f>
        <v/>
      </c>
      <c r="G404" s="29"/>
      <c r="H404" s="33"/>
      <c r="I404" s="34"/>
    </row>
    <row r="405" customFormat="false" ht="15" hidden="false" customHeight="false" outlineLevel="0" collapsed="false">
      <c r="A405" s="32"/>
      <c r="B405" s="29"/>
      <c r="C405" s="29"/>
      <c r="D405" s="25"/>
      <c r="E405" s="25"/>
      <c r="F405" s="18" t="str">
        <f aca="false">IF(AND(D405="",E405=""),"",'Danh mục'!$F$5+SUM($D$5:D405)-SUM($E$5:E405))</f>
        <v/>
      </c>
      <c r="G405" s="29"/>
      <c r="H405" s="33"/>
      <c r="I405" s="34"/>
    </row>
    <row r="406" customFormat="false" ht="15" hidden="false" customHeight="false" outlineLevel="0" collapsed="false">
      <c r="A406" s="32"/>
      <c r="B406" s="29"/>
      <c r="C406" s="29"/>
      <c r="D406" s="25"/>
      <c r="E406" s="25"/>
      <c r="F406" s="18" t="str">
        <f aca="false">IF(AND(D406="",E406=""),"",'Danh mục'!$F$5+SUM($D$5:D406)-SUM($E$5:E406))</f>
        <v/>
      </c>
      <c r="G406" s="29"/>
      <c r="H406" s="33"/>
      <c r="I406" s="34"/>
    </row>
    <row r="407" customFormat="false" ht="15" hidden="false" customHeight="false" outlineLevel="0" collapsed="false">
      <c r="A407" s="32"/>
      <c r="B407" s="29"/>
      <c r="C407" s="29"/>
      <c r="D407" s="25"/>
      <c r="E407" s="25"/>
      <c r="F407" s="18" t="str">
        <f aca="false">IF(AND(D407="",E407=""),"",'Danh mục'!$F$5+SUM($D$5:D407)-SUM($E$5:E407))</f>
        <v/>
      </c>
      <c r="G407" s="29"/>
      <c r="H407" s="33"/>
      <c r="I407" s="34"/>
    </row>
    <row r="408" customFormat="false" ht="15" hidden="false" customHeight="false" outlineLevel="0" collapsed="false">
      <c r="A408" s="32"/>
      <c r="B408" s="29"/>
      <c r="C408" s="29"/>
      <c r="D408" s="25"/>
      <c r="E408" s="25"/>
      <c r="F408" s="18" t="str">
        <f aca="false">IF(AND(D408="",E408=""),"",'Danh mục'!$F$5+SUM($D$5:D408)-SUM($E$5:E408))</f>
        <v/>
      </c>
      <c r="G408" s="29"/>
      <c r="H408" s="33"/>
      <c r="I408" s="34"/>
    </row>
    <row r="409" customFormat="false" ht="15" hidden="false" customHeight="false" outlineLevel="0" collapsed="false">
      <c r="A409" s="32"/>
      <c r="B409" s="29"/>
      <c r="C409" s="29"/>
      <c r="D409" s="25"/>
      <c r="E409" s="25"/>
      <c r="F409" s="18" t="str">
        <f aca="false">IF(AND(D409="",E409=""),"",'Danh mục'!$F$5+SUM($D$5:D409)-SUM($E$5:E409))</f>
        <v/>
      </c>
      <c r="G409" s="29"/>
      <c r="H409" s="33"/>
      <c r="I409" s="34"/>
    </row>
    <row r="410" customFormat="false" ht="15" hidden="false" customHeight="false" outlineLevel="0" collapsed="false">
      <c r="A410" s="32"/>
      <c r="B410" s="29"/>
      <c r="C410" s="29"/>
      <c r="D410" s="25"/>
      <c r="E410" s="25"/>
      <c r="F410" s="18" t="str">
        <f aca="false">IF(AND(D410="",E410=""),"",'Danh mục'!$F$5+SUM($D$5:D410)-SUM($E$5:E410))</f>
        <v/>
      </c>
      <c r="G410" s="29"/>
      <c r="H410" s="33"/>
      <c r="I410" s="34"/>
    </row>
    <row r="411" customFormat="false" ht="15" hidden="false" customHeight="false" outlineLevel="0" collapsed="false">
      <c r="A411" s="32"/>
      <c r="B411" s="29"/>
      <c r="C411" s="29"/>
      <c r="D411" s="25"/>
      <c r="E411" s="25"/>
      <c r="F411" s="18" t="str">
        <f aca="false">IF(AND(D411="",E411=""),"",'Danh mục'!$F$5+SUM($D$5:D411)-SUM($E$5:E411))</f>
        <v/>
      </c>
      <c r="G411" s="29"/>
      <c r="H411" s="33"/>
      <c r="I411" s="34"/>
    </row>
    <row r="412" customFormat="false" ht="15" hidden="false" customHeight="false" outlineLevel="0" collapsed="false">
      <c r="A412" s="32"/>
      <c r="B412" s="29"/>
      <c r="C412" s="29"/>
      <c r="D412" s="25"/>
      <c r="E412" s="25"/>
      <c r="F412" s="18" t="str">
        <f aca="false">IF(AND(D412="",E412=""),"",'Danh mục'!$F$5+SUM($D$5:D412)-SUM($E$5:E412))</f>
        <v/>
      </c>
      <c r="G412" s="29"/>
      <c r="H412" s="33"/>
      <c r="I412" s="34"/>
    </row>
    <row r="413" customFormat="false" ht="15" hidden="false" customHeight="false" outlineLevel="0" collapsed="false">
      <c r="A413" s="32"/>
      <c r="B413" s="29"/>
      <c r="C413" s="29"/>
      <c r="D413" s="25"/>
      <c r="E413" s="25"/>
      <c r="F413" s="18" t="str">
        <f aca="false">IF(AND(D413="",E413=""),"",'Danh mục'!$F$5+SUM($D$5:D413)-SUM($E$5:E413))</f>
        <v/>
      </c>
      <c r="G413" s="29"/>
      <c r="H413" s="33"/>
      <c r="I413" s="34"/>
    </row>
    <row r="414" customFormat="false" ht="15" hidden="false" customHeight="false" outlineLevel="0" collapsed="false">
      <c r="A414" s="32"/>
      <c r="B414" s="29"/>
      <c r="C414" s="29"/>
      <c r="D414" s="25"/>
      <c r="E414" s="25"/>
      <c r="F414" s="18" t="str">
        <f aca="false">IF(AND(D414="",E414=""),"",'Danh mục'!$F$5+SUM($D$5:D414)-SUM($E$5:E414))</f>
        <v/>
      </c>
      <c r="G414" s="29"/>
      <c r="H414" s="33"/>
      <c r="I414" s="34"/>
    </row>
    <row r="415" customFormat="false" ht="15" hidden="false" customHeight="false" outlineLevel="0" collapsed="false">
      <c r="A415" s="32"/>
      <c r="B415" s="29"/>
      <c r="C415" s="29"/>
      <c r="D415" s="25"/>
      <c r="E415" s="25"/>
      <c r="F415" s="18" t="str">
        <f aca="false">IF(AND(D415="",E415=""),"",'Danh mục'!$F$5+SUM($D$5:D415)-SUM($E$5:E415))</f>
        <v/>
      </c>
      <c r="G415" s="29"/>
      <c r="H415" s="33"/>
      <c r="I415" s="34"/>
    </row>
    <row r="416" customFormat="false" ht="15" hidden="false" customHeight="false" outlineLevel="0" collapsed="false">
      <c r="A416" s="32"/>
      <c r="B416" s="29"/>
      <c r="C416" s="29"/>
      <c r="D416" s="25"/>
      <c r="E416" s="25"/>
      <c r="F416" s="18" t="str">
        <f aca="false">IF(AND(D416="",E416=""),"",'Danh mục'!$F$5+SUM($D$5:D416)-SUM($E$5:E416))</f>
        <v/>
      </c>
      <c r="G416" s="29"/>
      <c r="H416" s="33"/>
      <c r="I416" s="34"/>
    </row>
    <row r="417" customFormat="false" ht="15" hidden="false" customHeight="false" outlineLevel="0" collapsed="false">
      <c r="A417" s="32"/>
      <c r="B417" s="29"/>
      <c r="C417" s="29"/>
      <c r="D417" s="25"/>
      <c r="E417" s="25"/>
      <c r="F417" s="18" t="str">
        <f aca="false">IF(AND(D417="",E417=""),"",'Danh mục'!$F$5+SUM($D$5:D417)-SUM($E$5:E417))</f>
        <v/>
      </c>
      <c r="G417" s="29"/>
      <c r="H417" s="33"/>
      <c r="I417" s="34"/>
    </row>
    <row r="418" customFormat="false" ht="15" hidden="false" customHeight="false" outlineLevel="0" collapsed="false">
      <c r="A418" s="32"/>
      <c r="B418" s="29"/>
      <c r="C418" s="29"/>
      <c r="D418" s="25"/>
      <c r="E418" s="25"/>
      <c r="F418" s="18" t="str">
        <f aca="false">IF(AND(D418="",E418=""),"",'Danh mục'!$F$5+SUM($D$5:D418)-SUM($E$5:E418))</f>
        <v/>
      </c>
      <c r="G418" s="29"/>
      <c r="H418" s="33"/>
      <c r="I418" s="34"/>
    </row>
    <row r="419" customFormat="false" ht="15" hidden="false" customHeight="false" outlineLevel="0" collapsed="false">
      <c r="A419" s="32"/>
      <c r="B419" s="29"/>
      <c r="C419" s="29"/>
      <c r="D419" s="25"/>
      <c r="E419" s="25"/>
      <c r="F419" s="18" t="str">
        <f aca="false">IF(AND(D419="",E419=""),"",'Danh mục'!$F$5+SUM($D$5:D419)-SUM($E$5:E419))</f>
        <v/>
      </c>
      <c r="G419" s="29"/>
      <c r="H419" s="33"/>
      <c r="I419" s="34"/>
    </row>
    <row r="420" customFormat="false" ht="15" hidden="false" customHeight="false" outlineLevel="0" collapsed="false">
      <c r="A420" s="32"/>
      <c r="B420" s="29"/>
      <c r="C420" s="29"/>
      <c r="D420" s="25"/>
      <c r="E420" s="25"/>
      <c r="F420" s="18" t="str">
        <f aca="false">IF(AND(D420="",E420=""),"",'Danh mục'!$F$5+SUM($D$5:D420)-SUM($E$5:E420))</f>
        <v/>
      </c>
      <c r="G420" s="29"/>
      <c r="H420" s="33"/>
      <c r="I420" s="34"/>
    </row>
    <row r="421" customFormat="false" ht="15" hidden="false" customHeight="false" outlineLevel="0" collapsed="false">
      <c r="A421" s="32"/>
      <c r="B421" s="29"/>
      <c r="C421" s="29"/>
      <c r="D421" s="25"/>
      <c r="E421" s="25"/>
      <c r="F421" s="18" t="str">
        <f aca="false">IF(AND(D421="",E421=""),"",'Danh mục'!$F$5+SUM($D$5:D421)-SUM($E$5:E421))</f>
        <v/>
      </c>
      <c r="G421" s="29"/>
      <c r="H421" s="33"/>
      <c r="I421" s="34"/>
    </row>
    <row r="422" customFormat="false" ht="15" hidden="false" customHeight="false" outlineLevel="0" collapsed="false">
      <c r="A422" s="32"/>
      <c r="B422" s="29"/>
      <c r="C422" s="29"/>
      <c r="D422" s="25"/>
      <c r="E422" s="25"/>
      <c r="F422" s="18" t="str">
        <f aca="false">IF(AND(D422="",E422=""),"",'Danh mục'!$F$5+SUM($D$5:D422)-SUM($E$5:E422))</f>
        <v/>
      </c>
      <c r="G422" s="29"/>
      <c r="H422" s="33"/>
      <c r="I422" s="34"/>
    </row>
    <row r="423" customFormat="false" ht="15" hidden="false" customHeight="false" outlineLevel="0" collapsed="false">
      <c r="A423" s="32"/>
      <c r="B423" s="29"/>
      <c r="C423" s="29"/>
      <c r="D423" s="25"/>
      <c r="E423" s="25"/>
      <c r="F423" s="18" t="str">
        <f aca="false">IF(AND(D423="",E423=""),"",'Danh mục'!$F$5+SUM($D$5:D423)-SUM($E$5:E423))</f>
        <v/>
      </c>
      <c r="G423" s="29"/>
      <c r="H423" s="33"/>
      <c r="I423" s="34"/>
    </row>
    <row r="424" customFormat="false" ht="15" hidden="false" customHeight="false" outlineLevel="0" collapsed="false">
      <c r="A424" s="32"/>
      <c r="B424" s="29"/>
      <c r="C424" s="29"/>
      <c r="D424" s="25"/>
      <c r="E424" s="25"/>
      <c r="F424" s="18" t="str">
        <f aca="false">IF(AND(D424="",E424=""),"",'Danh mục'!$F$5+SUM($D$5:D424)-SUM($E$5:E424))</f>
        <v/>
      </c>
      <c r="G424" s="29"/>
      <c r="H424" s="33"/>
      <c r="I424" s="34"/>
    </row>
    <row r="425" customFormat="false" ht="15" hidden="false" customHeight="false" outlineLevel="0" collapsed="false">
      <c r="A425" s="32"/>
      <c r="B425" s="29"/>
      <c r="C425" s="29"/>
      <c r="D425" s="25"/>
      <c r="E425" s="25"/>
      <c r="F425" s="18" t="str">
        <f aca="false">IF(AND(D425="",E425=""),"",'Danh mục'!$F$5+SUM($D$5:D425)-SUM($E$5:E425))</f>
        <v/>
      </c>
      <c r="G425" s="29"/>
      <c r="H425" s="33"/>
      <c r="I425" s="34"/>
    </row>
    <row r="426" customFormat="false" ht="15" hidden="false" customHeight="false" outlineLevel="0" collapsed="false">
      <c r="A426" s="32"/>
      <c r="B426" s="29"/>
      <c r="C426" s="29"/>
      <c r="D426" s="25"/>
      <c r="E426" s="25"/>
      <c r="F426" s="18" t="str">
        <f aca="false">IF(AND(D426="",E426=""),"",'Danh mục'!$F$5+SUM($D$5:D426)-SUM($E$5:E426))</f>
        <v/>
      </c>
      <c r="G426" s="29"/>
      <c r="H426" s="33"/>
      <c r="I426" s="34"/>
    </row>
    <row r="427" customFormat="false" ht="15" hidden="false" customHeight="false" outlineLevel="0" collapsed="false">
      <c r="A427" s="32"/>
      <c r="B427" s="29"/>
      <c r="C427" s="29"/>
      <c r="D427" s="25"/>
      <c r="E427" s="25"/>
      <c r="F427" s="18" t="str">
        <f aca="false">IF(AND(D427="",E427=""),"",'Danh mục'!$F$5+SUM($D$5:D427)-SUM($E$5:E427))</f>
        <v/>
      </c>
      <c r="G427" s="29"/>
      <c r="H427" s="33"/>
      <c r="I427" s="34"/>
    </row>
    <row r="428" customFormat="false" ht="15" hidden="false" customHeight="false" outlineLevel="0" collapsed="false">
      <c r="A428" s="32"/>
      <c r="B428" s="29"/>
      <c r="C428" s="29"/>
      <c r="D428" s="25"/>
      <c r="E428" s="25"/>
      <c r="F428" s="18" t="str">
        <f aca="false">IF(AND(D428="",E428=""),"",'Danh mục'!$F$5+SUM($D$5:D428)-SUM($E$5:E428))</f>
        <v/>
      </c>
      <c r="G428" s="29"/>
      <c r="H428" s="33"/>
      <c r="I428" s="34"/>
    </row>
    <row r="429" customFormat="false" ht="15" hidden="false" customHeight="false" outlineLevel="0" collapsed="false">
      <c r="A429" s="32"/>
      <c r="B429" s="29"/>
      <c r="C429" s="29"/>
      <c r="D429" s="25"/>
      <c r="E429" s="25"/>
      <c r="F429" s="18" t="str">
        <f aca="false">IF(AND(D429="",E429=""),"",'Danh mục'!$F$5+SUM($D$5:D429)-SUM($E$5:E429))</f>
        <v/>
      </c>
      <c r="G429" s="29"/>
      <c r="H429" s="33"/>
      <c r="I429" s="34"/>
    </row>
    <row r="430" customFormat="false" ht="15" hidden="false" customHeight="false" outlineLevel="0" collapsed="false">
      <c r="A430" s="32"/>
      <c r="B430" s="29"/>
      <c r="C430" s="29"/>
      <c r="D430" s="25"/>
      <c r="E430" s="25"/>
      <c r="F430" s="18" t="str">
        <f aca="false">IF(AND(D430="",E430=""),"",'Danh mục'!$F$5+SUM($D$5:D430)-SUM($E$5:E430))</f>
        <v/>
      </c>
      <c r="G430" s="29"/>
      <c r="H430" s="33"/>
      <c r="I430" s="34"/>
    </row>
    <row r="431" customFormat="false" ht="15" hidden="false" customHeight="false" outlineLevel="0" collapsed="false">
      <c r="A431" s="32"/>
      <c r="B431" s="29"/>
      <c r="C431" s="29"/>
      <c r="D431" s="25"/>
      <c r="E431" s="25"/>
      <c r="F431" s="18" t="str">
        <f aca="false">IF(AND(D431="",E431=""),"",'Danh mục'!$F$5+SUM($D$5:D431)-SUM($E$5:E431))</f>
        <v/>
      </c>
      <c r="G431" s="29"/>
      <c r="H431" s="33"/>
      <c r="I431" s="34"/>
    </row>
    <row r="432" customFormat="false" ht="15" hidden="false" customHeight="false" outlineLevel="0" collapsed="false">
      <c r="A432" s="32"/>
      <c r="B432" s="29"/>
      <c r="C432" s="29"/>
      <c r="D432" s="25"/>
      <c r="E432" s="25"/>
      <c r="F432" s="18" t="str">
        <f aca="false">IF(AND(D432="",E432=""),"",'Danh mục'!$F$5+SUM($D$5:D432)-SUM($E$5:E432))</f>
        <v/>
      </c>
      <c r="G432" s="29"/>
      <c r="H432" s="33"/>
      <c r="I432" s="34"/>
    </row>
    <row r="433" customFormat="false" ht="15" hidden="false" customHeight="false" outlineLevel="0" collapsed="false">
      <c r="A433" s="32"/>
      <c r="B433" s="29"/>
      <c r="C433" s="29"/>
      <c r="D433" s="25"/>
      <c r="E433" s="25"/>
      <c r="F433" s="18" t="str">
        <f aca="false">IF(AND(D433="",E433=""),"",'Danh mục'!$F$5+SUM($D$5:D433)-SUM($E$5:E433))</f>
        <v/>
      </c>
      <c r="G433" s="29"/>
      <c r="H433" s="33"/>
      <c r="I433" s="34"/>
    </row>
    <row r="434" customFormat="false" ht="15" hidden="false" customHeight="false" outlineLevel="0" collapsed="false">
      <c r="A434" s="32"/>
      <c r="B434" s="29"/>
      <c r="C434" s="29"/>
      <c r="D434" s="25"/>
      <c r="E434" s="25"/>
      <c r="F434" s="18" t="str">
        <f aca="false">IF(AND(D434="",E434=""),"",'Danh mục'!$F$5+SUM($D$5:D434)-SUM($E$5:E434))</f>
        <v/>
      </c>
      <c r="G434" s="29"/>
      <c r="H434" s="33"/>
      <c r="I434" s="34"/>
    </row>
    <row r="435" customFormat="false" ht="15" hidden="false" customHeight="false" outlineLevel="0" collapsed="false">
      <c r="A435" s="32"/>
      <c r="B435" s="29"/>
      <c r="C435" s="29"/>
      <c r="D435" s="25"/>
      <c r="E435" s="25"/>
      <c r="F435" s="18" t="str">
        <f aca="false">IF(AND(D435="",E435=""),"",'Danh mục'!$F$5+SUM($D$5:D435)-SUM($E$5:E435))</f>
        <v/>
      </c>
      <c r="G435" s="29"/>
      <c r="H435" s="33"/>
      <c r="I435" s="34"/>
    </row>
    <row r="436" customFormat="false" ht="15" hidden="false" customHeight="false" outlineLevel="0" collapsed="false">
      <c r="A436" s="32"/>
      <c r="B436" s="29"/>
      <c r="C436" s="29"/>
      <c r="D436" s="25"/>
      <c r="E436" s="25"/>
      <c r="F436" s="18" t="str">
        <f aca="false">IF(AND(D436="",E436=""),"",'Danh mục'!$F$5+SUM($D$5:D436)-SUM($E$5:E436))</f>
        <v/>
      </c>
      <c r="G436" s="29"/>
      <c r="H436" s="33"/>
      <c r="I436" s="34"/>
    </row>
    <row r="437" customFormat="false" ht="15" hidden="false" customHeight="false" outlineLevel="0" collapsed="false">
      <c r="A437" s="32"/>
      <c r="B437" s="29"/>
      <c r="C437" s="29"/>
      <c r="D437" s="25"/>
      <c r="E437" s="25"/>
      <c r="F437" s="18" t="str">
        <f aca="false">IF(AND(D437="",E437=""),"",'Danh mục'!$F$5+SUM($D$5:D437)-SUM($E$5:E437))</f>
        <v/>
      </c>
      <c r="G437" s="29"/>
      <c r="H437" s="33"/>
      <c r="I437" s="34"/>
    </row>
    <row r="438" customFormat="false" ht="15" hidden="false" customHeight="false" outlineLevel="0" collapsed="false">
      <c r="A438" s="32"/>
      <c r="B438" s="29"/>
      <c r="C438" s="29"/>
      <c r="D438" s="25"/>
      <c r="E438" s="25"/>
      <c r="F438" s="18" t="str">
        <f aca="false">IF(AND(D438="",E438=""),"",'Danh mục'!$F$5+SUM($D$5:D438)-SUM($E$5:E438))</f>
        <v/>
      </c>
      <c r="G438" s="29"/>
      <c r="H438" s="33"/>
      <c r="I438" s="34"/>
    </row>
    <row r="439" customFormat="false" ht="15" hidden="false" customHeight="false" outlineLevel="0" collapsed="false">
      <c r="A439" s="32"/>
      <c r="B439" s="29"/>
      <c r="C439" s="29"/>
      <c r="D439" s="25"/>
      <c r="E439" s="25"/>
      <c r="F439" s="18" t="str">
        <f aca="false">IF(AND(D439="",E439=""),"",'Danh mục'!$F$5+SUM($D$5:D439)-SUM($E$5:E439))</f>
        <v/>
      </c>
      <c r="G439" s="29"/>
      <c r="H439" s="33"/>
      <c r="I439" s="34"/>
    </row>
    <row r="440" customFormat="false" ht="15" hidden="false" customHeight="false" outlineLevel="0" collapsed="false">
      <c r="A440" s="32"/>
      <c r="B440" s="29"/>
      <c r="C440" s="29"/>
      <c r="D440" s="25"/>
      <c r="E440" s="25"/>
      <c r="F440" s="18" t="str">
        <f aca="false">IF(AND(D440="",E440=""),"",'Danh mục'!$F$5+SUM($D$5:D440)-SUM($E$5:E440))</f>
        <v/>
      </c>
      <c r="G440" s="29"/>
      <c r="H440" s="33"/>
      <c r="I440" s="34"/>
    </row>
    <row r="441" customFormat="false" ht="15" hidden="false" customHeight="false" outlineLevel="0" collapsed="false">
      <c r="A441" s="32"/>
      <c r="B441" s="29"/>
      <c r="C441" s="29"/>
      <c r="D441" s="25"/>
      <c r="E441" s="25"/>
      <c r="F441" s="18" t="str">
        <f aca="false">IF(AND(D441="",E441=""),"",'Danh mục'!$F$5+SUM($D$5:D441)-SUM($E$5:E441))</f>
        <v/>
      </c>
      <c r="G441" s="29"/>
      <c r="H441" s="33"/>
      <c r="I441" s="34"/>
    </row>
    <row r="442" customFormat="false" ht="15" hidden="false" customHeight="false" outlineLevel="0" collapsed="false">
      <c r="A442" s="32"/>
      <c r="B442" s="29"/>
      <c r="C442" s="29"/>
      <c r="D442" s="25"/>
      <c r="E442" s="25"/>
      <c r="F442" s="18" t="str">
        <f aca="false">IF(AND(D442="",E442=""),"",'Danh mục'!$F$5+SUM($D$5:D442)-SUM($E$5:E442))</f>
        <v/>
      </c>
      <c r="G442" s="29"/>
      <c r="H442" s="33"/>
      <c r="I442" s="34"/>
    </row>
    <row r="443" customFormat="false" ht="15" hidden="false" customHeight="false" outlineLevel="0" collapsed="false">
      <c r="A443" s="32"/>
      <c r="B443" s="29"/>
      <c r="C443" s="29"/>
      <c r="D443" s="25"/>
      <c r="E443" s="25"/>
      <c r="F443" s="18" t="str">
        <f aca="false">IF(AND(D443="",E443=""),"",'Danh mục'!$F$5+SUM($D$5:D443)-SUM($E$5:E443))</f>
        <v/>
      </c>
      <c r="G443" s="29"/>
      <c r="H443" s="33"/>
      <c r="I443" s="34"/>
    </row>
    <row r="444" customFormat="false" ht="15" hidden="false" customHeight="false" outlineLevel="0" collapsed="false">
      <c r="A444" s="32"/>
      <c r="B444" s="29"/>
      <c r="C444" s="29"/>
      <c r="D444" s="25"/>
      <c r="E444" s="25"/>
      <c r="F444" s="18" t="str">
        <f aca="false">IF(AND(D444="",E444=""),"",'Danh mục'!$F$5+SUM($D$5:D444)-SUM($E$5:E444))</f>
        <v/>
      </c>
      <c r="G444" s="29"/>
      <c r="H444" s="33"/>
      <c r="I444" s="34"/>
    </row>
    <row r="445" customFormat="false" ht="15" hidden="false" customHeight="false" outlineLevel="0" collapsed="false">
      <c r="A445" s="32"/>
      <c r="B445" s="29"/>
      <c r="C445" s="29"/>
      <c r="D445" s="25"/>
      <c r="E445" s="25"/>
      <c r="F445" s="18" t="str">
        <f aca="false">IF(AND(D445="",E445=""),"",'Danh mục'!$F$5+SUM($D$5:D445)-SUM($E$5:E445))</f>
        <v/>
      </c>
      <c r="G445" s="29"/>
      <c r="H445" s="33"/>
      <c r="I445" s="34"/>
    </row>
    <row r="446" customFormat="false" ht="15" hidden="false" customHeight="false" outlineLevel="0" collapsed="false">
      <c r="A446" s="32"/>
      <c r="B446" s="29"/>
      <c r="C446" s="29"/>
      <c r="D446" s="25"/>
      <c r="E446" s="25"/>
      <c r="F446" s="18" t="str">
        <f aca="false">IF(AND(D446="",E446=""),"",'Danh mục'!$F$5+SUM($D$5:D446)-SUM($E$5:E446))</f>
        <v/>
      </c>
      <c r="G446" s="29"/>
      <c r="H446" s="33"/>
      <c r="I446" s="34"/>
    </row>
    <row r="447" customFormat="false" ht="15" hidden="false" customHeight="false" outlineLevel="0" collapsed="false">
      <c r="A447" s="32"/>
      <c r="B447" s="29"/>
      <c r="C447" s="29"/>
      <c r="D447" s="25"/>
      <c r="E447" s="25"/>
      <c r="F447" s="18" t="str">
        <f aca="false">IF(AND(D447="",E447=""),"",'Danh mục'!$F$5+SUM($D$5:D447)-SUM($E$5:E447))</f>
        <v/>
      </c>
      <c r="G447" s="29"/>
      <c r="H447" s="33"/>
      <c r="I447" s="34"/>
    </row>
    <row r="448" customFormat="false" ht="15" hidden="false" customHeight="false" outlineLevel="0" collapsed="false">
      <c r="A448" s="32"/>
      <c r="B448" s="29"/>
      <c r="C448" s="29"/>
      <c r="D448" s="25"/>
      <c r="E448" s="25"/>
      <c r="F448" s="18" t="str">
        <f aca="false">IF(AND(D448="",E448=""),"",'Danh mục'!$F$5+SUM($D$5:D448)-SUM($E$5:E448))</f>
        <v/>
      </c>
      <c r="G448" s="29"/>
      <c r="H448" s="33"/>
      <c r="I448" s="34"/>
    </row>
    <row r="449" customFormat="false" ht="15" hidden="false" customHeight="false" outlineLevel="0" collapsed="false">
      <c r="A449" s="32"/>
      <c r="B449" s="29"/>
      <c r="C449" s="29"/>
      <c r="D449" s="25"/>
      <c r="E449" s="25"/>
      <c r="F449" s="18" t="str">
        <f aca="false">IF(AND(D449="",E449=""),"",'Danh mục'!$F$5+SUM($D$5:D449)-SUM($E$5:E449))</f>
        <v/>
      </c>
      <c r="G449" s="29"/>
      <c r="H449" s="33"/>
      <c r="I449" s="34"/>
    </row>
    <row r="450" customFormat="false" ht="15" hidden="false" customHeight="false" outlineLevel="0" collapsed="false">
      <c r="A450" s="32"/>
      <c r="B450" s="29"/>
      <c r="C450" s="29"/>
      <c r="D450" s="25"/>
      <c r="E450" s="25"/>
      <c r="F450" s="18" t="str">
        <f aca="false">IF(AND(D450="",E450=""),"",'Danh mục'!$F$5+SUM($D$5:D450)-SUM($E$5:E450))</f>
        <v/>
      </c>
      <c r="G450" s="29"/>
      <c r="H450" s="33"/>
      <c r="I450" s="34"/>
    </row>
    <row r="451" customFormat="false" ht="15" hidden="false" customHeight="false" outlineLevel="0" collapsed="false">
      <c r="A451" s="32"/>
      <c r="B451" s="29"/>
      <c r="C451" s="29"/>
      <c r="D451" s="25"/>
      <c r="E451" s="25"/>
      <c r="F451" s="18" t="str">
        <f aca="false">IF(AND(D451="",E451=""),"",'Danh mục'!$F$5+SUM($D$5:D451)-SUM($E$5:E451))</f>
        <v/>
      </c>
      <c r="G451" s="29"/>
      <c r="H451" s="33"/>
      <c r="I451" s="34"/>
    </row>
    <row r="452" customFormat="false" ht="15" hidden="false" customHeight="false" outlineLevel="0" collapsed="false">
      <c r="A452" s="32"/>
      <c r="B452" s="29"/>
      <c r="C452" s="29"/>
      <c r="D452" s="25"/>
      <c r="E452" s="25"/>
      <c r="F452" s="18" t="str">
        <f aca="false">IF(AND(D452="",E452=""),"",'Danh mục'!$F$5+SUM($D$5:D452)-SUM($E$5:E452))</f>
        <v/>
      </c>
      <c r="G452" s="29"/>
      <c r="H452" s="33"/>
      <c r="I452" s="34"/>
    </row>
    <row r="453" customFormat="false" ht="15" hidden="false" customHeight="false" outlineLevel="0" collapsed="false">
      <c r="A453" s="32"/>
      <c r="B453" s="29"/>
      <c r="C453" s="29"/>
      <c r="D453" s="25"/>
      <c r="E453" s="25"/>
      <c r="F453" s="18" t="str">
        <f aca="false">IF(AND(D453="",E453=""),"",'Danh mục'!$F$5+SUM($D$5:D453)-SUM($E$5:E453))</f>
        <v/>
      </c>
      <c r="G453" s="29"/>
      <c r="H453" s="33"/>
      <c r="I453" s="34"/>
    </row>
    <row r="454" customFormat="false" ht="15" hidden="false" customHeight="false" outlineLevel="0" collapsed="false">
      <c r="A454" s="32"/>
      <c r="B454" s="29"/>
      <c r="C454" s="29"/>
      <c r="D454" s="25"/>
      <c r="E454" s="25"/>
      <c r="F454" s="18" t="str">
        <f aca="false">IF(AND(D454="",E454=""),"",'Danh mục'!$F$5+SUM($D$5:D454)-SUM($E$5:E454))</f>
        <v/>
      </c>
      <c r="G454" s="29"/>
      <c r="H454" s="33"/>
      <c r="I454" s="34"/>
    </row>
    <row r="455" customFormat="false" ht="15" hidden="false" customHeight="false" outlineLevel="0" collapsed="false">
      <c r="A455" s="32"/>
      <c r="B455" s="29"/>
      <c r="C455" s="29"/>
      <c r="D455" s="25"/>
      <c r="E455" s="25"/>
      <c r="F455" s="18" t="str">
        <f aca="false">IF(AND(D455="",E455=""),"",'Danh mục'!$F$5+SUM($D$5:D455)-SUM($E$5:E455))</f>
        <v/>
      </c>
      <c r="G455" s="29"/>
      <c r="H455" s="33"/>
      <c r="I455" s="34"/>
    </row>
    <row r="456" customFormat="false" ht="15" hidden="false" customHeight="false" outlineLevel="0" collapsed="false">
      <c r="A456" s="32"/>
      <c r="B456" s="29"/>
      <c r="C456" s="29"/>
      <c r="D456" s="25"/>
      <c r="E456" s="25"/>
      <c r="F456" s="18" t="str">
        <f aca="false">IF(AND(D456="",E456=""),"",'Danh mục'!$F$5+SUM($D$5:D456)-SUM($E$5:E456))</f>
        <v/>
      </c>
      <c r="G456" s="29"/>
      <c r="H456" s="33"/>
      <c r="I456" s="34"/>
    </row>
    <row r="457" customFormat="false" ht="15" hidden="false" customHeight="false" outlineLevel="0" collapsed="false">
      <c r="A457" s="32"/>
      <c r="B457" s="29"/>
      <c r="C457" s="29"/>
      <c r="D457" s="25"/>
      <c r="E457" s="25"/>
      <c r="F457" s="18" t="str">
        <f aca="false">IF(AND(D457="",E457=""),"",'Danh mục'!$F$5+SUM($D$5:D457)-SUM($E$5:E457))</f>
        <v/>
      </c>
      <c r="G457" s="29"/>
      <c r="H457" s="33"/>
      <c r="I457" s="34"/>
    </row>
    <row r="458" customFormat="false" ht="15" hidden="false" customHeight="false" outlineLevel="0" collapsed="false">
      <c r="A458" s="32"/>
      <c r="B458" s="29"/>
      <c r="C458" s="29"/>
      <c r="D458" s="25"/>
      <c r="E458" s="25"/>
      <c r="F458" s="18" t="str">
        <f aca="false">IF(AND(D458="",E458=""),"",'Danh mục'!$F$5+SUM($D$5:D458)-SUM($E$5:E458))</f>
        <v/>
      </c>
      <c r="G458" s="29"/>
      <c r="H458" s="33"/>
      <c r="I458" s="34"/>
    </row>
    <row r="459" customFormat="false" ht="15" hidden="false" customHeight="false" outlineLevel="0" collapsed="false">
      <c r="A459" s="32"/>
      <c r="B459" s="29"/>
      <c r="C459" s="29"/>
      <c r="D459" s="25"/>
      <c r="E459" s="25"/>
      <c r="F459" s="18" t="str">
        <f aca="false">IF(AND(D459="",E459=""),"",'Danh mục'!$F$5+SUM($D$5:D459)-SUM($E$5:E459))</f>
        <v/>
      </c>
      <c r="G459" s="29"/>
      <c r="H459" s="33"/>
      <c r="I459" s="34"/>
    </row>
    <row r="460" customFormat="false" ht="15" hidden="false" customHeight="false" outlineLevel="0" collapsed="false">
      <c r="A460" s="32"/>
      <c r="B460" s="29"/>
      <c r="C460" s="29"/>
      <c r="D460" s="25"/>
      <c r="E460" s="25"/>
      <c r="F460" s="18" t="str">
        <f aca="false">IF(AND(D460="",E460=""),"",'Danh mục'!$F$5+SUM($D$5:D460)-SUM($E$5:E460))</f>
        <v/>
      </c>
      <c r="G460" s="29"/>
      <c r="H460" s="33"/>
      <c r="I460" s="34"/>
    </row>
    <row r="461" customFormat="false" ht="15" hidden="false" customHeight="false" outlineLevel="0" collapsed="false">
      <c r="A461" s="32"/>
      <c r="B461" s="29"/>
      <c r="C461" s="29"/>
      <c r="D461" s="25"/>
      <c r="E461" s="25"/>
      <c r="F461" s="18" t="str">
        <f aca="false">IF(AND(D461="",E461=""),"",'Danh mục'!$F$5+SUM($D$5:D461)-SUM($E$5:E461))</f>
        <v/>
      </c>
      <c r="G461" s="29"/>
      <c r="H461" s="33"/>
      <c r="I461" s="34"/>
    </row>
    <row r="462" customFormat="false" ht="15" hidden="false" customHeight="false" outlineLevel="0" collapsed="false">
      <c r="A462" s="32"/>
      <c r="B462" s="29"/>
      <c r="C462" s="29"/>
      <c r="D462" s="25"/>
      <c r="E462" s="25"/>
      <c r="F462" s="18" t="str">
        <f aca="false">IF(AND(D462="",E462=""),"",'Danh mục'!$F$5+SUM($D$5:D462)-SUM($E$5:E462))</f>
        <v/>
      </c>
      <c r="G462" s="29"/>
      <c r="H462" s="33"/>
      <c r="I462" s="34"/>
    </row>
    <row r="463" customFormat="false" ht="15" hidden="false" customHeight="false" outlineLevel="0" collapsed="false">
      <c r="A463" s="32"/>
      <c r="B463" s="29"/>
      <c r="C463" s="29"/>
      <c r="D463" s="25"/>
      <c r="E463" s="25"/>
      <c r="F463" s="18" t="str">
        <f aca="false">IF(AND(D463="",E463=""),"",'Danh mục'!$F$5+SUM($D$5:D463)-SUM($E$5:E463))</f>
        <v/>
      </c>
      <c r="G463" s="29"/>
      <c r="H463" s="33"/>
      <c r="I463" s="34"/>
    </row>
    <row r="464" customFormat="false" ht="15" hidden="false" customHeight="false" outlineLevel="0" collapsed="false">
      <c r="A464" s="32"/>
      <c r="B464" s="29"/>
      <c r="C464" s="29"/>
      <c r="D464" s="25"/>
      <c r="E464" s="25"/>
      <c r="F464" s="18" t="str">
        <f aca="false">IF(AND(D464="",E464=""),"",'Danh mục'!$F$5+SUM($D$5:D464)-SUM($E$5:E464))</f>
        <v/>
      </c>
      <c r="G464" s="29"/>
      <c r="H464" s="33"/>
      <c r="I464" s="34"/>
    </row>
    <row r="465" customFormat="false" ht="15" hidden="false" customHeight="false" outlineLevel="0" collapsed="false">
      <c r="A465" s="32"/>
      <c r="B465" s="29"/>
      <c r="C465" s="29"/>
      <c r="D465" s="25"/>
      <c r="E465" s="25"/>
      <c r="F465" s="18" t="str">
        <f aca="false">IF(AND(D465="",E465=""),"",'Danh mục'!$F$5+SUM($D$5:D465)-SUM($E$5:E465))</f>
        <v/>
      </c>
      <c r="G465" s="29"/>
      <c r="H465" s="33"/>
      <c r="I465" s="34"/>
    </row>
    <row r="466" customFormat="false" ht="15" hidden="false" customHeight="false" outlineLevel="0" collapsed="false">
      <c r="A466" s="32"/>
      <c r="B466" s="29"/>
      <c r="C466" s="29"/>
      <c r="D466" s="25"/>
      <c r="E466" s="25"/>
      <c r="F466" s="18" t="str">
        <f aca="false">IF(AND(D466="",E466=""),"",'Danh mục'!$F$5+SUM($D$5:D466)-SUM($E$5:E466))</f>
        <v/>
      </c>
      <c r="G466" s="29"/>
      <c r="H466" s="33"/>
      <c r="I466" s="34"/>
    </row>
    <row r="467" customFormat="false" ht="15" hidden="false" customHeight="false" outlineLevel="0" collapsed="false">
      <c r="A467" s="32"/>
      <c r="B467" s="29"/>
      <c r="C467" s="29"/>
      <c r="D467" s="25"/>
      <c r="E467" s="25"/>
      <c r="F467" s="18" t="str">
        <f aca="false">IF(AND(D467="",E467=""),"",'Danh mục'!$F$5+SUM($D$5:D467)-SUM($E$5:E467))</f>
        <v/>
      </c>
      <c r="G467" s="29"/>
      <c r="H467" s="33"/>
      <c r="I467" s="34"/>
    </row>
    <row r="468" customFormat="false" ht="15" hidden="false" customHeight="false" outlineLevel="0" collapsed="false">
      <c r="A468" s="32"/>
      <c r="B468" s="29"/>
      <c r="C468" s="29"/>
      <c r="D468" s="25"/>
      <c r="E468" s="25"/>
      <c r="F468" s="18" t="str">
        <f aca="false">IF(AND(D468="",E468=""),"",'Danh mục'!$F$5+SUM($D$5:D468)-SUM($E$5:E468))</f>
        <v/>
      </c>
      <c r="G468" s="29"/>
      <c r="H468" s="33"/>
      <c r="I468" s="34"/>
    </row>
    <row r="469" customFormat="false" ht="15" hidden="false" customHeight="false" outlineLevel="0" collapsed="false">
      <c r="A469" s="32"/>
      <c r="B469" s="29"/>
      <c r="C469" s="29"/>
      <c r="D469" s="25"/>
      <c r="E469" s="25"/>
      <c r="F469" s="18" t="str">
        <f aca="false">IF(AND(D469="",E469=""),"",'Danh mục'!$F$5+SUM($D$5:D469)-SUM($E$5:E469))</f>
        <v/>
      </c>
      <c r="G469" s="29"/>
      <c r="H469" s="33"/>
      <c r="I469" s="34"/>
    </row>
    <row r="470" customFormat="false" ht="15" hidden="false" customHeight="false" outlineLevel="0" collapsed="false">
      <c r="A470" s="32"/>
      <c r="B470" s="29"/>
      <c r="C470" s="29"/>
      <c r="D470" s="25"/>
      <c r="E470" s="25"/>
      <c r="F470" s="18" t="str">
        <f aca="false">IF(AND(D470="",E470=""),"",'Danh mục'!$F$5+SUM($D$5:D470)-SUM($E$5:E470))</f>
        <v/>
      </c>
      <c r="G470" s="29"/>
      <c r="H470" s="33"/>
      <c r="I470" s="34"/>
    </row>
    <row r="471" customFormat="false" ht="15" hidden="false" customHeight="false" outlineLevel="0" collapsed="false">
      <c r="A471" s="32"/>
      <c r="B471" s="29"/>
      <c r="C471" s="29"/>
      <c r="D471" s="25"/>
      <c r="E471" s="25"/>
      <c r="F471" s="18" t="str">
        <f aca="false">IF(AND(D471="",E471=""),"",'Danh mục'!$F$5+SUM($D$5:D471)-SUM($E$5:E471))</f>
        <v/>
      </c>
      <c r="G471" s="29"/>
      <c r="H471" s="33"/>
      <c r="I471" s="34"/>
    </row>
    <row r="472" customFormat="false" ht="15" hidden="false" customHeight="false" outlineLevel="0" collapsed="false">
      <c r="A472" s="32"/>
      <c r="B472" s="29"/>
      <c r="C472" s="29"/>
      <c r="D472" s="25"/>
      <c r="E472" s="25"/>
      <c r="F472" s="18" t="str">
        <f aca="false">IF(AND(D472="",E472=""),"",'Danh mục'!$F$5+SUM($D$5:D472)-SUM($E$5:E472))</f>
        <v/>
      </c>
      <c r="G472" s="29"/>
      <c r="H472" s="33"/>
      <c r="I472" s="34"/>
    </row>
    <row r="473" customFormat="false" ht="15" hidden="false" customHeight="false" outlineLevel="0" collapsed="false">
      <c r="A473" s="32"/>
      <c r="B473" s="29"/>
      <c r="C473" s="29"/>
      <c r="D473" s="25"/>
      <c r="E473" s="25"/>
      <c r="F473" s="18" t="str">
        <f aca="false">IF(AND(D473="",E473=""),"",'Danh mục'!$F$5+SUM($D$5:D473)-SUM($E$5:E473))</f>
        <v/>
      </c>
      <c r="G473" s="29"/>
      <c r="H473" s="33"/>
      <c r="I473" s="34"/>
    </row>
    <row r="474" customFormat="false" ht="15" hidden="false" customHeight="false" outlineLevel="0" collapsed="false">
      <c r="A474" s="32"/>
      <c r="B474" s="29"/>
      <c r="C474" s="29"/>
      <c r="D474" s="25"/>
      <c r="E474" s="25"/>
      <c r="F474" s="18" t="str">
        <f aca="false">IF(AND(D474="",E474=""),"",'Danh mục'!$F$5+SUM($D$5:D474)-SUM($E$5:E474))</f>
        <v/>
      </c>
      <c r="G474" s="29"/>
      <c r="H474" s="33"/>
      <c r="I474" s="34"/>
    </row>
    <row r="475" customFormat="false" ht="15" hidden="false" customHeight="false" outlineLevel="0" collapsed="false">
      <c r="A475" s="32"/>
      <c r="B475" s="29"/>
      <c r="C475" s="29"/>
      <c r="D475" s="25"/>
      <c r="E475" s="25"/>
      <c r="F475" s="18" t="str">
        <f aca="false">IF(AND(D475="",E475=""),"",'Danh mục'!$F$5+SUM($D$5:D475)-SUM($E$5:E475))</f>
        <v/>
      </c>
      <c r="G475" s="29"/>
      <c r="H475" s="33"/>
      <c r="I475" s="34"/>
    </row>
    <row r="476" customFormat="false" ht="15" hidden="false" customHeight="false" outlineLevel="0" collapsed="false">
      <c r="A476" s="32"/>
      <c r="B476" s="29"/>
      <c r="C476" s="29"/>
      <c r="D476" s="25"/>
      <c r="E476" s="25"/>
      <c r="F476" s="18" t="str">
        <f aca="false">IF(AND(D476="",E476=""),"",'Danh mục'!$F$5+SUM($D$5:D476)-SUM($E$5:E476))</f>
        <v/>
      </c>
      <c r="G476" s="29"/>
      <c r="H476" s="33"/>
      <c r="I476" s="34"/>
    </row>
    <row r="477" customFormat="false" ht="15" hidden="false" customHeight="false" outlineLevel="0" collapsed="false">
      <c r="A477" s="32"/>
      <c r="B477" s="29"/>
      <c r="C477" s="29"/>
      <c r="D477" s="25"/>
      <c r="E477" s="25"/>
      <c r="F477" s="18" t="str">
        <f aca="false">IF(AND(D477="",E477=""),"",'Danh mục'!$F$5+SUM($D$5:D477)-SUM($E$5:E477))</f>
        <v/>
      </c>
      <c r="G477" s="29"/>
      <c r="H477" s="33"/>
      <c r="I477" s="34"/>
    </row>
    <row r="478" customFormat="false" ht="15" hidden="false" customHeight="false" outlineLevel="0" collapsed="false">
      <c r="A478" s="32"/>
      <c r="B478" s="29"/>
      <c r="C478" s="29"/>
      <c r="D478" s="25"/>
      <c r="E478" s="25"/>
      <c r="F478" s="18" t="str">
        <f aca="false">IF(AND(D478="",E478=""),"",'Danh mục'!$F$5+SUM($D$5:D478)-SUM($E$5:E478))</f>
        <v/>
      </c>
      <c r="G478" s="29"/>
      <c r="H478" s="33"/>
      <c r="I478" s="34"/>
    </row>
    <row r="479" customFormat="false" ht="15" hidden="false" customHeight="false" outlineLevel="0" collapsed="false">
      <c r="A479" s="32"/>
      <c r="B479" s="29"/>
      <c r="C479" s="29"/>
      <c r="D479" s="25"/>
      <c r="E479" s="25"/>
      <c r="F479" s="18" t="str">
        <f aca="false">IF(AND(D479="",E479=""),"",'Danh mục'!$F$5+SUM($D$5:D479)-SUM($E$5:E479))</f>
        <v/>
      </c>
      <c r="G479" s="29"/>
      <c r="H479" s="33"/>
      <c r="I479" s="34"/>
    </row>
    <row r="480" customFormat="false" ht="15" hidden="false" customHeight="false" outlineLevel="0" collapsed="false">
      <c r="A480" s="32"/>
      <c r="B480" s="29"/>
      <c r="C480" s="29"/>
      <c r="D480" s="25"/>
      <c r="E480" s="25"/>
      <c r="F480" s="18" t="str">
        <f aca="false">IF(AND(D480="",E480=""),"",'Danh mục'!$F$5+SUM($D$5:D480)-SUM($E$5:E480))</f>
        <v/>
      </c>
      <c r="G480" s="29"/>
      <c r="H480" s="33"/>
      <c r="I480" s="34"/>
    </row>
    <row r="481" customFormat="false" ht="15" hidden="false" customHeight="false" outlineLevel="0" collapsed="false">
      <c r="A481" s="32"/>
      <c r="B481" s="29"/>
      <c r="C481" s="29"/>
      <c r="D481" s="25"/>
      <c r="E481" s="25"/>
      <c r="F481" s="18" t="str">
        <f aca="false">IF(AND(D481="",E481=""),"",'Danh mục'!$F$5+SUM($D$5:D481)-SUM($E$5:E481))</f>
        <v/>
      </c>
      <c r="G481" s="29"/>
      <c r="H481" s="33"/>
      <c r="I481" s="34"/>
    </row>
    <row r="482" customFormat="false" ht="15" hidden="false" customHeight="false" outlineLevel="0" collapsed="false">
      <c r="A482" s="32"/>
      <c r="B482" s="29"/>
      <c r="C482" s="29"/>
      <c r="D482" s="25"/>
      <c r="E482" s="25"/>
      <c r="F482" s="18" t="str">
        <f aca="false">IF(AND(D482="",E482=""),"",'Danh mục'!$F$5+SUM($D$5:D482)-SUM($E$5:E482))</f>
        <v/>
      </c>
      <c r="G482" s="29"/>
      <c r="H482" s="33"/>
      <c r="I482" s="34"/>
    </row>
    <row r="483" customFormat="false" ht="15" hidden="false" customHeight="false" outlineLevel="0" collapsed="false">
      <c r="A483" s="32"/>
      <c r="B483" s="29"/>
      <c r="C483" s="29"/>
      <c r="D483" s="25"/>
      <c r="E483" s="25"/>
      <c r="F483" s="18" t="str">
        <f aca="false">IF(AND(D483="",E483=""),"",'Danh mục'!$F$5+SUM($D$5:D483)-SUM($E$5:E483))</f>
        <v/>
      </c>
      <c r="G483" s="29"/>
      <c r="H483" s="33"/>
      <c r="I483" s="34"/>
    </row>
    <row r="484" customFormat="false" ht="15" hidden="false" customHeight="false" outlineLevel="0" collapsed="false">
      <c r="A484" s="32"/>
      <c r="B484" s="29"/>
      <c r="C484" s="29"/>
      <c r="D484" s="25"/>
      <c r="E484" s="25"/>
      <c r="F484" s="18" t="str">
        <f aca="false">IF(AND(D484="",E484=""),"",'Danh mục'!$F$5+SUM($D$5:D484)-SUM($E$5:E484))</f>
        <v/>
      </c>
      <c r="G484" s="29"/>
      <c r="H484" s="33"/>
      <c r="I484" s="34"/>
    </row>
    <row r="485" customFormat="false" ht="15" hidden="false" customHeight="false" outlineLevel="0" collapsed="false">
      <c r="A485" s="32"/>
      <c r="B485" s="29"/>
      <c r="C485" s="29"/>
      <c r="D485" s="25"/>
      <c r="E485" s="25"/>
      <c r="F485" s="18" t="str">
        <f aca="false">IF(AND(D485="",E485=""),"",'Danh mục'!$F$5+SUM($D$5:D485)-SUM($E$5:E485))</f>
        <v/>
      </c>
      <c r="G485" s="29"/>
      <c r="H485" s="33"/>
      <c r="I485" s="34"/>
    </row>
    <row r="486" customFormat="false" ht="15" hidden="false" customHeight="false" outlineLevel="0" collapsed="false">
      <c r="A486" s="32"/>
      <c r="B486" s="29"/>
      <c r="C486" s="29"/>
      <c r="D486" s="25"/>
      <c r="E486" s="25"/>
      <c r="F486" s="18" t="str">
        <f aca="false">IF(AND(D486="",E486=""),"",'Danh mục'!$F$5+SUM($D$5:D486)-SUM($E$5:E486))</f>
        <v/>
      </c>
      <c r="G486" s="29"/>
      <c r="H486" s="33"/>
      <c r="I486" s="34"/>
    </row>
    <row r="487" customFormat="false" ht="15" hidden="false" customHeight="false" outlineLevel="0" collapsed="false">
      <c r="A487" s="32"/>
      <c r="B487" s="29"/>
      <c r="C487" s="29"/>
      <c r="D487" s="25"/>
      <c r="E487" s="25"/>
      <c r="F487" s="18" t="str">
        <f aca="false">IF(AND(D487="",E487=""),"",'Danh mục'!$F$5+SUM($D$5:D487)-SUM($E$5:E487))</f>
        <v/>
      </c>
      <c r="G487" s="29"/>
      <c r="H487" s="33"/>
      <c r="I487" s="34"/>
    </row>
    <row r="488" customFormat="false" ht="15" hidden="false" customHeight="false" outlineLevel="0" collapsed="false">
      <c r="A488" s="32"/>
      <c r="B488" s="29"/>
      <c r="C488" s="29"/>
      <c r="D488" s="25"/>
      <c r="E488" s="25"/>
      <c r="F488" s="18" t="str">
        <f aca="false">IF(AND(D488="",E488=""),"",'Danh mục'!$F$5+SUM($D$5:D488)-SUM($E$5:E488))</f>
        <v/>
      </c>
      <c r="G488" s="29"/>
      <c r="H488" s="33"/>
      <c r="I488" s="34"/>
    </row>
    <row r="489" customFormat="false" ht="15" hidden="false" customHeight="false" outlineLevel="0" collapsed="false">
      <c r="A489" s="32"/>
      <c r="B489" s="29"/>
      <c r="C489" s="29"/>
      <c r="D489" s="25"/>
      <c r="E489" s="25"/>
      <c r="F489" s="18" t="str">
        <f aca="false">IF(AND(D489="",E489=""),"",'Danh mục'!$F$5+SUM($D$5:D489)-SUM($E$5:E489))</f>
        <v/>
      </c>
      <c r="G489" s="29"/>
      <c r="H489" s="33"/>
      <c r="I489" s="34"/>
    </row>
    <row r="490" customFormat="false" ht="15" hidden="false" customHeight="false" outlineLevel="0" collapsed="false">
      <c r="A490" s="32"/>
      <c r="B490" s="29"/>
      <c r="C490" s="29"/>
      <c r="D490" s="25"/>
      <c r="E490" s="25"/>
      <c r="F490" s="18" t="str">
        <f aca="false">IF(AND(D490="",E490=""),"",'Danh mục'!$F$5+SUM($D$5:D490)-SUM($E$5:E490))</f>
        <v/>
      </c>
      <c r="G490" s="29"/>
      <c r="H490" s="33"/>
      <c r="I490" s="34"/>
    </row>
    <row r="491" customFormat="false" ht="15" hidden="false" customHeight="false" outlineLevel="0" collapsed="false">
      <c r="A491" s="32"/>
      <c r="B491" s="29"/>
      <c r="C491" s="29"/>
      <c r="D491" s="25"/>
      <c r="E491" s="25"/>
      <c r="F491" s="18" t="str">
        <f aca="false">IF(AND(D491="",E491=""),"",'Danh mục'!$F$5+SUM($D$5:D491)-SUM($E$5:E491))</f>
        <v/>
      </c>
      <c r="G491" s="29"/>
      <c r="H491" s="33"/>
      <c r="I491" s="34"/>
    </row>
    <row r="492" customFormat="false" ht="15" hidden="false" customHeight="false" outlineLevel="0" collapsed="false">
      <c r="A492" s="32"/>
      <c r="B492" s="29"/>
      <c r="C492" s="29"/>
      <c r="D492" s="25"/>
      <c r="E492" s="25"/>
      <c r="F492" s="18" t="str">
        <f aca="false">IF(AND(D492="",E492=""),"",'Danh mục'!$F$5+SUM($D$5:D492)-SUM($E$5:E492))</f>
        <v/>
      </c>
      <c r="G492" s="29"/>
      <c r="H492" s="33"/>
      <c r="I492" s="34"/>
    </row>
    <row r="493" customFormat="false" ht="15" hidden="false" customHeight="false" outlineLevel="0" collapsed="false">
      <c r="A493" s="32"/>
      <c r="B493" s="29"/>
      <c r="C493" s="29"/>
      <c r="D493" s="25"/>
      <c r="E493" s="25"/>
      <c r="F493" s="18" t="str">
        <f aca="false">IF(AND(D493="",E493=""),"",'Danh mục'!$F$5+SUM($D$5:D493)-SUM($E$5:E493))</f>
        <v/>
      </c>
      <c r="G493" s="29"/>
      <c r="H493" s="33"/>
      <c r="I493" s="34"/>
    </row>
    <row r="494" customFormat="false" ht="15" hidden="false" customHeight="false" outlineLevel="0" collapsed="false">
      <c r="A494" s="32"/>
      <c r="B494" s="29"/>
      <c r="C494" s="29"/>
      <c r="D494" s="25"/>
      <c r="E494" s="25"/>
      <c r="F494" s="18" t="str">
        <f aca="false">IF(AND(D494="",E494=""),"",'Danh mục'!$F$5+SUM($D$5:D494)-SUM($E$5:E494))</f>
        <v/>
      </c>
      <c r="G494" s="29"/>
      <c r="H494" s="33"/>
      <c r="I494" s="34"/>
    </row>
    <row r="495" customFormat="false" ht="15" hidden="false" customHeight="false" outlineLevel="0" collapsed="false">
      <c r="A495" s="32"/>
      <c r="B495" s="29"/>
      <c r="C495" s="29"/>
      <c r="D495" s="25"/>
      <c r="E495" s="25"/>
      <c r="F495" s="18" t="str">
        <f aca="false">IF(AND(D495="",E495=""),"",'Danh mục'!$F$5+SUM($D$5:D495)-SUM($E$5:E495))</f>
        <v/>
      </c>
      <c r="G495" s="29"/>
      <c r="H495" s="33"/>
      <c r="I495" s="34"/>
    </row>
    <row r="496" customFormat="false" ht="15" hidden="false" customHeight="false" outlineLevel="0" collapsed="false">
      <c r="A496" s="32"/>
      <c r="B496" s="29"/>
      <c r="C496" s="29"/>
      <c r="D496" s="25"/>
      <c r="E496" s="25"/>
      <c r="F496" s="18" t="str">
        <f aca="false">IF(AND(D496="",E496=""),"",'Danh mục'!$F$5+SUM($D$5:D496)-SUM($E$5:E496))</f>
        <v/>
      </c>
      <c r="G496" s="29"/>
      <c r="H496" s="33"/>
      <c r="I496" s="34"/>
    </row>
    <row r="497" customFormat="false" ht="15" hidden="false" customHeight="false" outlineLevel="0" collapsed="false">
      <c r="A497" s="32"/>
      <c r="B497" s="29"/>
      <c r="C497" s="29"/>
      <c r="D497" s="25"/>
      <c r="E497" s="25"/>
      <c r="F497" s="18" t="str">
        <f aca="false">IF(AND(D497="",E497=""),"",'Danh mục'!$F$5+SUM($D$5:D497)-SUM($E$5:E497))</f>
        <v/>
      </c>
      <c r="G497" s="29"/>
      <c r="H497" s="33"/>
      <c r="I497" s="34"/>
    </row>
    <row r="498" customFormat="false" ht="15" hidden="false" customHeight="false" outlineLevel="0" collapsed="false">
      <c r="A498" s="32"/>
      <c r="B498" s="29"/>
      <c r="C498" s="29"/>
      <c r="D498" s="25"/>
      <c r="E498" s="25"/>
      <c r="F498" s="18" t="str">
        <f aca="false">IF(AND(D498="",E498=""),"",'Danh mục'!$F$5+SUM($D$5:D498)-SUM($E$5:E498))</f>
        <v/>
      </c>
      <c r="G498" s="29"/>
      <c r="H498" s="33"/>
      <c r="I498" s="34"/>
    </row>
    <row r="499" customFormat="false" ht="15" hidden="false" customHeight="false" outlineLevel="0" collapsed="false">
      <c r="A499" s="32"/>
      <c r="B499" s="29"/>
      <c r="C499" s="29"/>
      <c r="D499" s="25"/>
      <c r="E499" s="25"/>
      <c r="F499" s="18" t="str">
        <f aca="false">IF(AND(D499="",E499=""),"",'Danh mục'!$F$5+SUM($D$5:D499)-SUM($E$5:E499))</f>
        <v/>
      </c>
      <c r="G499" s="29"/>
      <c r="H499" s="33"/>
      <c r="I499" s="34"/>
    </row>
    <row r="500" customFormat="false" ht="15" hidden="false" customHeight="false" outlineLevel="0" collapsed="false">
      <c r="A500" s="32"/>
      <c r="B500" s="29"/>
      <c r="C500" s="29"/>
      <c r="D500" s="25"/>
      <c r="E500" s="25"/>
      <c r="F500" s="18" t="str">
        <f aca="false">IF(AND(D500="",E500=""),"",'Danh mục'!$F$5+SUM($D$5:D500)-SUM($E$5:E500))</f>
        <v/>
      </c>
      <c r="G500" s="29"/>
      <c r="H500" s="33"/>
      <c r="I500" s="34"/>
    </row>
    <row r="501" customFormat="false" ht="15" hidden="false" customHeight="false" outlineLevel="0" collapsed="false">
      <c r="A501" s="32"/>
      <c r="B501" s="29"/>
      <c r="C501" s="29"/>
      <c r="D501" s="25"/>
      <c r="E501" s="25"/>
      <c r="F501" s="18" t="str">
        <f aca="false">IF(AND(D501="",E501=""),"",'Danh mục'!$F$5+SUM($D$5:D501)-SUM($E$5:E501))</f>
        <v/>
      </c>
      <c r="G501" s="29"/>
      <c r="H501" s="33"/>
      <c r="I501" s="34"/>
    </row>
    <row r="502" customFormat="false" ht="15" hidden="false" customHeight="false" outlineLevel="0" collapsed="false">
      <c r="A502" s="32"/>
      <c r="B502" s="29"/>
      <c r="C502" s="29"/>
      <c r="D502" s="25"/>
      <c r="E502" s="25"/>
      <c r="F502" s="18" t="str">
        <f aca="false">IF(AND(D502="",E502=""),"",'Danh mục'!$F$5+SUM($D$5:D502)-SUM($E$5:E502))</f>
        <v/>
      </c>
      <c r="G502" s="29"/>
      <c r="H502" s="33"/>
      <c r="I502" s="34"/>
    </row>
    <row r="503" customFormat="false" ht="15" hidden="false" customHeight="false" outlineLevel="0" collapsed="false">
      <c r="A503" s="32"/>
      <c r="B503" s="29"/>
      <c r="C503" s="29"/>
      <c r="D503" s="25"/>
      <c r="E503" s="25"/>
      <c r="F503" s="18" t="str">
        <f aca="false">IF(AND(D503="",E503=""),"",'Danh mục'!$F$5+SUM($D$5:D503)-SUM($E$5:E503))</f>
        <v/>
      </c>
      <c r="G503" s="29"/>
      <c r="H503" s="33"/>
      <c r="I503" s="34"/>
    </row>
    <row r="504" customFormat="false" ht="15" hidden="false" customHeight="false" outlineLevel="0" collapsed="false">
      <c r="A504" s="32"/>
      <c r="B504" s="29"/>
      <c r="C504" s="29"/>
      <c r="D504" s="25"/>
      <c r="E504" s="25"/>
      <c r="F504" s="18" t="str">
        <f aca="false">IF(AND(D504="",E504=""),"",'Danh mục'!$F$5+SUM($D$5:D504)-SUM($E$5:E504))</f>
        <v/>
      </c>
      <c r="G504" s="29"/>
      <c r="H504" s="33"/>
      <c r="I504" s="34"/>
    </row>
  </sheetData>
  <autoFilter ref="A4:I504"/>
  <dataValidations count="2">
    <dataValidation allowBlank="true" errorStyle="stop" operator="between" showDropDown="false" showErrorMessage="false" showInputMessage="false" sqref="C5:C504" type="list">
      <formula1>'Danh mục'!$B$5:$B$30</formula1>
      <formula2>0</formula2>
    </dataValidation>
    <dataValidation allowBlank="true" errorStyle="stop" operator="between" showDropDown="false" showErrorMessage="false" showInputMessage="false" sqref="B5:B504" type="list">
      <formula1>'Danh mục'!$C$5:$C$40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7" min="4" style="0" width="12"/>
    <col collapsed="false" customWidth="true" hidden="false" outlineLevel="0" max="8" min="8" style="0" width="18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140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141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1" t="s">
        <v>57</v>
      </c>
      <c r="B4" s="31" t="s">
        <v>47</v>
      </c>
      <c r="C4" s="31" t="s">
        <v>142</v>
      </c>
      <c r="D4" s="31" t="s">
        <v>48</v>
      </c>
      <c r="E4" s="31" t="s">
        <v>49</v>
      </c>
      <c r="F4" s="31" t="s">
        <v>50</v>
      </c>
      <c r="G4" s="31" t="s">
        <v>51</v>
      </c>
      <c r="H4" s="31" t="s">
        <v>93</v>
      </c>
      <c r="I4" s="31" t="s">
        <v>94</v>
      </c>
    </row>
    <row r="5" customFormat="false" ht="15" hidden="false" customHeight="false" outlineLevel="0" collapsed="false">
      <c r="A5" s="32" t="n">
        <v>46296</v>
      </c>
      <c r="B5" s="29" t="s">
        <v>69</v>
      </c>
      <c r="C5" s="29" t="s">
        <v>143</v>
      </c>
      <c r="D5" s="25" t="n">
        <v>50</v>
      </c>
      <c r="E5" s="25"/>
      <c r="F5" s="25"/>
      <c r="G5" s="18" t="n">
        <f aca="false">IF(AND(D5="",F5=""),"",N(D5)-N(F5))</f>
        <v>50</v>
      </c>
      <c r="H5" s="33" t="s">
        <v>144</v>
      </c>
      <c r="I5" s="34"/>
    </row>
    <row r="6" customFormat="false" ht="15" hidden="false" customHeight="false" outlineLevel="0" collapsed="false">
      <c r="A6" s="32" t="n">
        <v>46296</v>
      </c>
      <c r="B6" s="29" t="s">
        <v>69</v>
      </c>
      <c r="C6" s="29" t="s">
        <v>145</v>
      </c>
      <c r="D6" s="25" t="n">
        <v>5000</v>
      </c>
      <c r="E6" s="25" t="n">
        <v>15000</v>
      </c>
      <c r="F6" s="25"/>
      <c r="G6" s="18" t="n">
        <f aca="false">IF(AND(D6="",F6=""),"",N(D6)-N(F6))</f>
        <v>5000</v>
      </c>
      <c r="H6" s="33" t="s">
        <v>146</v>
      </c>
      <c r="I6" s="34"/>
    </row>
    <row r="7" customFormat="false" ht="15" hidden="false" customHeight="false" outlineLevel="0" collapsed="false">
      <c r="A7" s="32" t="n">
        <v>46296</v>
      </c>
      <c r="B7" s="29" t="s">
        <v>69</v>
      </c>
      <c r="C7" s="29" t="s">
        <v>147</v>
      </c>
      <c r="D7" s="25" t="n">
        <v>3000</v>
      </c>
      <c r="E7" s="25"/>
      <c r="F7" s="25"/>
      <c r="G7" s="18" t="n">
        <f aca="false">IF(AND(D7="",F7=""),"",N(D7)-N(F7))</f>
        <v>3000</v>
      </c>
      <c r="H7" s="33" t="s">
        <v>148</v>
      </c>
      <c r="I7" s="34"/>
    </row>
    <row r="8" customFormat="false" ht="15" hidden="false" customHeight="false" outlineLevel="0" collapsed="false">
      <c r="A8" s="32" t="n">
        <v>46296</v>
      </c>
      <c r="B8" s="29" t="s">
        <v>69</v>
      </c>
      <c r="C8" s="29" t="s">
        <v>149</v>
      </c>
      <c r="D8" s="25" t="n">
        <v>50</v>
      </c>
      <c r="E8" s="25"/>
      <c r="F8" s="25" t="n">
        <v>307</v>
      </c>
      <c r="G8" s="18" t="n">
        <f aca="false">IF(AND(D8="",F8=""),"",N(D8)-N(F8))</f>
        <v>-257</v>
      </c>
      <c r="H8" s="33" t="s">
        <v>150</v>
      </c>
      <c r="I8" s="34"/>
    </row>
    <row r="9" customFormat="false" ht="15" hidden="false" customHeight="false" outlineLevel="0" collapsed="false">
      <c r="A9" s="32" t="n">
        <v>46296</v>
      </c>
      <c r="B9" s="29" t="s">
        <v>69</v>
      </c>
      <c r="C9" s="29" t="s">
        <v>151</v>
      </c>
      <c r="D9" s="25" t="n">
        <v>5000</v>
      </c>
      <c r="E9" s="25" t="n">
        <v>5000</v>
      </c>
      <c r="F9" s="25"/>
      <c r="G9" s="18" t="n">
        <f aca="false">IF(AND(D9="",F9=""),"",N(D9)-N(F9))</f>
        <v>5000</v>
      </c>
      <c r="H9" s="33" t="s">
        <v>152</v>
      </c>
      <c r="I9" s="34"/>
    </row>
    <row r="10" customFormat="false" ht="15" hidden="false" customHeight="false" outlineLevel="0" collapsed="false">
      <c r="A10" s="32" t="n">
        <v>46296</v>
      </c>
      <c r="B10" s="29" t="s">
        <v>69</v>
      </c>
      <c r="C10" s="29" t="s">
        <v>153</v>
      </c>
      <c r="D10" s="25" t="n">
        <v>100</v>
      </c>
      <c r="E10" s="25"/>
      <c r="F10" s="25" t="n">
        <v>101</v>
      </c>
      <c r="G10" s="18" t="n">
        <f aca="false">IF(AND(D10="",F10=""),"",N(D10)-N(F10))</f>
        <v>-1</v>
      </c>
      <c r="H10" s="33" t="s">
        <v>154</v>
      </c>
      <c r="I10" s="34"/>
    </row>
    <row r="11" customFormat="false" ht="15" hidden="false" customHeight="false" outlineLevel="0" collapsed="false">
      <c r="A11" s="32" t="n">
        <v>46296</v>
      </c>
      <c r="B11" s="29" t="s">
        <v>69</v>
      </c>
      <c r="C11" s="29" t="s">
        <v>155</v>
      </c>
      <c r="D11" s="25" t="n">
        <v>1000</v>
      </c>
      <c r="E11" s="25"/>
      <c r="F11" s="25"/>
      <c r="G11" s="18" t="n">
        <f aca="false">IF(AND(D11="",F11=""),"",N(D11)-N(F11))</f>
        <v>1000</v>
      </c>
      <c r="H11" s="33" t="s">
        <v>156</v>
      </c>
      <c r="I11" s="34"/>
    </row>
    <row r="12" customFormat="false" ht="15" hidden="false" customHeight="false" outlineLevel="0" collapsed="false">
      <c r="A12" s="32" t="n">
        <v>46296</v>
      </c>
      <c r="B12" s="29" t="s">
        <v>69</v>
      </c>
      <c r="C12" s="29" t="s">
        <v>157</v>
      </c>
      <c r="D12" s="25" t="n">
        <v>150</v>
      </c>
      <c r="E12" s="25"/>
      <c r="F12" s="25"/>
      <c r="G12" s="18" t="n">
        <f aca="false">IF(AND(D12="",F12=""),"",N(D12)-N(F12))</f>
        <v>150</v>
      </c>
      <c r="H12" s="33" t="s">
        <v>158</v>
      </c>
      <c r="I12" s="34"/>
    </row>
    <row r="13" customFormat="false" ht="15" hidden="false" customHeight="false" outlineLevel="0" collapsed="false">
      <c r="A13" s="32" t="n">
        <v>46296</v>
      </c>
      <c r="B13" s="29" t="s">
        <v>69</v>
      </c>
      <c r="C13" s="29" t="s">
        <v>159</v>
      </c>
      <c r="D13" s="25" t="n">
        <v>200</v>
      </c>
      <c r="E13" s="25"/>
      <c r="F13" s="25"/>
      <c r="G13" s="18" t="n">
        <f aca="false">IF(AND(D13="",F13=""),"",N(D13)-N(F13))</f>
        <v>200</v>
      </c>
      <c r="H13" s="33" t="s">
        <v>160</v>
      </c>
      <c r="I13" s="34"/>
    </row>
    <row r="14" customFormat="false" ht="15" hidden="false" customHeight="false" outlineLevel="0" collapsed="false">
      <c r="A14" s="32" t="n">
        <v>46297</v>
      </c>
      <c r="B14" s="29" t="s">
        <v>69</v>
      </c>
      <c r="C14" s="29" t="s">
        <v>157</v>
      </c>
      <c r="D14" s="25" t="n">
        <v>100</v>
      </c>
      <c r="E14" s="25"/>
      <c r="F14" s="25" t="n">
        <v>206</v>
      </c>
      <c r="G14" s="18" t="n">
        <f aca="false">IF(AND(D14="",F14=""),"",N(D14)-N(F14))</f>
        <v>-106</v>
      </c>
      <c r="H14" s="33" t="s">
        <v>161</v>
      </c>
      <c r="I14" s="34"/>
    </row>
    <row r="15" customFormat="false" ht="15" hidden="false" customHeight="false" outlineLevel="0" collapsed="false">
      <c r="A15" s="32" t="n">
        <v>46297</v>
      </c>
      <c r="B15" s="29" t="s">
        <v>69</v>
      </c>
      <c r="C15" s="29" t="s">
        <v>153</v>
      </c>
      <c r="D15" s="25" t="n">
        <v>200</v>
      </c>
      <c r="E15" s="25"/>
      <c r="F15" s="25"/>
      <c r="G15" s="18" t="n">
        <f aca="false">IF(AND(D15="",F15=""),"",N(D15)-N(F15))</f>
        <v>200</v>
      </c>
      <c r="H15" s="33" t="s">
        <v>162</v>
      </c>
      <c r="I15" s="34"/>
    </row>
    <row r="16" customFormat="false" ht="15" hidden="false" customHeight="false" outlineLevel="0" collapsed="false">
      <c r="A16" s="32" t="n">
        <v>46297</v>
      </c>
      <c r="B16" s="29" t="s">
        <v>69</v>
      </c>
      <c r="C16" s="29" t="s">
        <v>157</v>
      </c>
      <c r="D16" s="25" t="n">
        <v>100</v>
      </c>
      <c r="E16" s="25"/>
      <c r="F16" s="25"/>
      <c r="G16" s="18" t="n">
        <f aca="false">IF(AND(D16="",F16=""),"",N(D16)-N(F16))</f>
        <v>100</v>
      </c>
      <c r="H16" s="33" t="s">
        <v>163</v>
      </c>
      <c r="I16" s="34"/>
    </row>
    <row r="17" customFormat="false" ht="15" hidden="false" customHeight="false" outlineLevel="0" collapsed="false">
      <c r="A17" s="32" t="n">
        <v>46297</v>
      </c>
      <c r="B17" s="29" t="s">
        <v>69</v>
      </c>
      <c r="C17" s="29" t="s">
        <v>159</v>
      </c>
      <c r="D17" s="25" t="n">
        <v>150</v>
      </c>
      <c r="E17" s="25"/>
      <c r="F17" s="25" t="n">
        <v>955</v>
      </c>
      <c r="G17" s="18" t="n">
        <f aca="false">IF(AND(D17="",F17=""),"",N(D17)-N(F17))</f>
        <v>-805</v>
      </c>
      <c r="H17" s="33" t="s">
        <v>164</v>
      </c>
      <c r="I17" s="34"/>
    </row>
    <row r="18" customFormat="false" ht="15" hidden="false" customHeight="false" outlineLevel="0" collapsed="false">
      <c r="A18" s="32" t="n">
        <v>46297</v>
      </c>
      <c r="B18" s="29" t="s">
        <v>69</v>
      </c>
      <c r="C18" s="29" t="s">
        <v>165</v>
      </c>
      <c r="D18" s="25" t="n">
        <v>3000</v>
      </c>
      <c r="E18" s="25" t="n">
        <v>6000</v>
      </c>
      <c r="F18" s="25"/>
      <c r="G18" s="18" t="n">
        <f aca="false">IF(AND(D18="",F18=""),"",N(D18)-N(F18))</f>
        <v>3000</v>
      </c>
      <c r="H18" s="33" t="s">
        <v>166</v>
      </c>
      <c r="I18" s="34"/>
    </row>
    <row r="19" customFormat="false" ht="15" hidden="false" customHeight="false" outlineLevel="0" collapsed="false">
      <c r="A19" s="32" t="n">
        <v>46297</v>
      </c>
      <c r="B19" s="29" t="s">
        <v>69</v>
      </c>
      <c r="C19" s="29" t="s">
        <v>167</v>
      </c>
      <c r="D19" s="25" t="n">
        <v>300</v>
      </c>
      <c r="E19" s="25" t="n">
        <v>10000</v>
      </c>
      <c r="F19" s="25"/>
      <c r="G19" s="18" t="n">
        <f aca="false">IF(AND(D19="",F19=""),"",N(D19)-N(F19))</f>
        <v>300</v>
      </c>
      <c r="H19" s="33" t="s">
        <v>168</v>
      </c>
      <c r="I19" s="34"/>
    </row>
    <row r="20" customFormat="false" ht="15" hidden="false" customHeight="false" outlineLevel="0" collapsed="false">
      <c r="A20" s="32" t="n">
        <v>46298</v>
      </c>
      <c r="B20" s="29" t="s">
        <v>69</v>
      </c>
      <c r="C20" s="29" t="s">
        <v>169</v>
      </c>
      <c r="D20" s="25" t="n">
        <v>3000</v>
      </c>
      <c r="E20" s="25" t="n">
        <v>6000</v>
      </c>
      <c r="F20" s="25"/>
      <c r="G20" s="18" t="n">
        <f aca="false">IF(AND(D20="",F20=""),"",N(D20)-N(F20))</f>
        <v>3000</v>
      </c>
      <c r="H20" s="33" t="s">
        <v>170</v>
      </c>
      <c r="I20" s="34"/>
    </row>
    <row r="21" customFormat="false" ht="15" hidden="false" customHeight="false" outlineLevel="0" collapsed="false">
      <c r="A21" s="32" t="n">
        <v>46298</v>
      </c>
      <c r="B21" s="29" t="s">
        <v>69</v>
      </c>
      <c r="C21" s="29" t="s">
        <v>159</v>
      </c>
      <c r="D21" s="25" t="n">
        <v>250</v>
      </c>
      <c r="E21" s="25"/>
      <c r="F21" s="25"/>
      <c r="G21" s="18" t="n">
        <f aca="false">IF(AND(D21="",F21=""),"",N(D21)-N(F21))</f>
        <v>250</v>
      </c>
      <c r="H21" s="33" t="s">
        <v>171</v>
      </c>
      <c r="I21" s="34"/>
    </row>
    <row r="22" customFormat="false" ht="15" hidden="false" customHeight="false" outlineLevel="0" collapsed="false">
      <c r="A22" s="32" t="n">
        <v>46299</v>
      </c>
      <c r="B22" s="29" t="s">
        <v>69</v>
      </c>
      <c r="C22" s="29" t="s">
        <v>167</v>
      </c>
      <c r="D22" s="25"/>
      <c r="E22" s="25" t="n">
        <v>10000</v>
      </c>
      <c r="F22" s="25"/>
      <c r="G22" s="18" t="str">
        <f aca="false">IF(AND(D22="",F22=""),"",N(D22)-N(F22))</f>
        <v/>
      </c>
      <c r="H22" s="33" t="s">
        <v>172</v>
      </c>
      <c r="I22" s="34"/>
    </row>
    <row r="23" customFormat="false" ht="15" hidden="false" customHeight="false" outlineLevel="0" collapsed="false">
      <c r="A23" s="32" t="n">
        <v>46300</v>
      </c>
      <c r="B23" s="29" t="s">
        <v>69</v>
      </c>
      <c r="C23" s="29" t="s">
        <v>143</v>
      </c>
      <c r="D23" s="25" t="n">
        <v>50</v>
      </c>
      <c r="E23" s="25"/>
      <c r="F23" s="25" t="n">
        <v>700</v>
      </c>
      <c r="G23" s="18" t="n">
        <f aca="false">IF(AND(D23="",F23=""),"",N(D23)-N(F23))</f>
        <v>-650</v>
      </c>
      <c r="H23" s="33" t="s">
        <v>173</v>
      </c>
      <c r="I23" s="34" t="s">
        <v>174</v>
      </c>
    </row>
    <row r="24" customFormat="false" ht="15" hidden="false" customHeight="false" outlineLevel="0" collapsed="false">
      <c r="A24" s="32" t="n">
        <v>46296</v>
      </c>
      <c r="B24" s="29" t="s">
        <v>73</v>
      </c>
      <c r="C24" s="29" t="s">
        <v>175</v>
      </c>
      <c r="D24" s="25" t="n">
        <v>200</v>
      </c>
      <c r="E24" s="25"/>
      <c r="F24" s="25" t="n">
        <v>100</v>
      </c>
      <c r="G24" s="18" t="n">
        <f aca="false">IF(AND(D24="",F24=""),"",N(D24)-N(F24))</f>
        <v>100</v>
      </c>
      <c r="H24" s="33" t="s">
        <v>176</v>
      </c>
      <c r="I24" s="34" t="s">
        <v>177</v>
      </c>
    </row>
    <row r="25" customFormat="false" ht="15" hidden="false" customHeight="false" outlineLevel="0" collapsed="false">
      <c r="A25" s="32" t="n">
        <v>46296</v>
      </c>
      <c r="B25" s="29" t="s">
        <v>73</v>
      </c>
      <c r="C25" s="29" t="s">
        <v>178</v>
      </c>
      <c r="D25" s="25" t="n">
        <v>3000</v>
      </c>
      <c r="E25" s="25"/>
      <c r="F25" s="25"/>
      <c r="G25" s="18" t="n">
        <f aca="false">IF(AND(D25="",F25=""),"",N(D25)-N(F25))</f>
        <v>3000</v>
      </c>
      <c r="H25" s="33" t="s">
        <v>179</v>
      </c>
      <c r="I25" s="34"/>
    </row>
    <row r="26" customFormat="false" ht="15" hidden="false" customHeight="false" outlineLevel="0" collapsed="false">
      <c r="A26" s="32" t="n">
        <v>46296</v>
      </c>
      <c r="B26" s="29" t="s">
        <v>73</v>
      </c>
      <c r="C26" s="29" t="s">
        <v>180</v>
      </c>
      <c r="D26" s="25" t="n">
        <v>1000</v>
      </c>
      <c r="E26" s="25"/>
      <c r="F26" s="25"/>
      <c r="G26" s="18" t="n">
        <f aca="false">IF(AND(D26="",F26=""),"",N(D26)-N(F26))</f>
        <v>1000</v>
      </c>
      <c r="H26" s="33" t="s">
        <v>181</v>
      </c>
      <c r="I26" s="34"/>
    </row>
    <row r="27" customFormat="false" ht="15" hidden="false" customHeight="false" outlineLevel="0" collapsed="false">
      <c r="A27" s="32" t="n">
        <v>46296</v>
      </c>
      <c r="B27" s="29" t="s">
        <v>73</v>
      </c>
      <c r="C27" s="29" t="s">
        <v>182</v>
      </c>
      <c r="D27" s="25" t="n">
        <v>4000</v>
      </c>
      <c r="E27" s="25"/>
      <c r="F27" s="25"/>
      <c r="G27" s="18" t="n">
        <f aca="false">IF(AND(D27="",F27=""),"",N(D27)-N(F27))</f>
        <v>4000</v>
      </c>
      <c r="H27" s="33" t="s">
        <v>183</v>
      </c>
      <c r="I27" s="34"/>
    </row>
    <row r="28" customFormat="false" ht="15" hidden="false" customHeight="false" outlineLevel="0" collapsed="false">
      <c r="A28" s="35" t="n">
        <v>46296</v>
      </c>
      <c r="B28" s="36" t="s">
        <v>73</v>
      </c>
      <c r="C28" s="36" t="s">
        <v>184</v>
      </c>
      <c r="D28" s="37"/>
      <c r="E28" s="37"/>
      <c r="F28" s="37" t="n">
        <v>100</v>
      </c>
      <c r="G28" s="38" t="n">
        <f aca="false">IF(AND(D28="",F28=""),"",N(D28)-N(F28))</f>
        <v>-100</v>
      </c>
      <c r="H28" s="39" t="s">
        <v>185</v>
      </c>
      <c r="I28" s="40" t="s">
        <v>186</v>
      </c>
    </row>
    <row r="29" customFormat="false" ht="15" hidden="false" customHeight="false" outlineLevel="0" collapsed="false">
      <c r="A29" s="32" t="n">
        <v>46297</v>
      </c>
      <c r="B29" s="29" t="s">
        <v>73</v>
      </c>
      <c r="C29" s="29" t="s">
        <v>187</v>
      </c>
      <c r="D29" s="25" t="n">
        <v>50</v>
      </c>
      <c r="E29" s="25"/>
      <c r="F29" s="25"/>
      <c r="G29" s="18" t="n">
        <f aca="false">IF(AND(D29="",F29=""),"",N(D29)-N(F29))</f>
        <v>50</v>
      </c>
      <c r="H29" s="33" t="s">
        <v>188</v>
      </c>
      <c r="I29" s="34"/>
    </row>
    <row r="30" customFormat="false" ht="15" hidden="false" customHeight="false" outlineLevel="0" collapsed="false">
      <c r="A30" s="32" t="n">
        <v>46297</v>
      </c>
      <c r="B30" s="29" t="s">
        <v>73</v>
      </c>
      <c r="C30" s="29" t="s">
        <v>189</v>
      </c>
      <c r="D30" s="25" t="n">
        <v>100</v>
      </c>
      <c r="E30" s="25"/>
      <c r="F30" s="25"/>
      <c r="G30" s="18" t="n">
        <f aca="false">IF(AND(D30="",F30=""),"",N(D30)-N(F30))</f>
        <v>100</v>
      </c>
      <c r="H30" s="33" t="s">
        <v>190</v>
      </c>
      <c r="I30" s="34"/>
    </row>
    <row r="31" customFormat="false" ht="15" hidden="false" customHeight="false" outlineLevel="0" collapsed="false">
      <c r="A31" s="32" t="n">
        <v>46298</v>
      </c>
      <c r="B31" s="29" t="s">
        <v>73</v>
      </c>
      <c r="C31" s="29" t="s">
        <v>189</v>
      </c>
      <c r="D31" s="25" t="n">
        <v>100</v>
      </c>
      <c r="E31" s="25"/>
      <c r="F31" s="25"/>
      <c r="G31" s="18" t="n">
        <f aca="false">IF(AND(D31="",F31=""),"",N(D31)-N(F31))</f>
        <v>100</v>
      </c>
      <c r="H31" s="33" t="s">
        <v>191</v>
      </c>
      <c r="I31" s="34"/>
    </row>
    <row r="32" customFormat="false" ht="15" hidden="false" customHeight="false" outlineLevel="0" collapsed="false">
      <c r="A32" s="32" t="n">
        <v>46298</v>
      </c>
      <c r="B32" s="29" t="s">
        <v>73</v>
      </c>
      <c r="C32" s="29" t="s">
        <v>192</v>
      </c>
      <c r="D32" s="25" t="n">
        <v>2580</v>
      </c>
      <c r="E32" s="25"/>
      <c r="F32" s="25"/>
      <c r="G32" s="18" t="n">
        <f aca="false">IF(AND(D32="",F32=""),"",N(D32)-N(F32))</f>
        <v>2580</v>
      </c>
      <c r="H32" s="33" t="s">
        <v>193</v>
      </c>
      <c r="I32" s="34"/>
    </row>
    <row r="33" customFormat="false" ht="15" hidden="false" customHeight="false" outlineLevel="0" collapsed="false">
      <c r="A33" s="32" t="n">
        <v>46298</v>
      </c>
      <c r="B33" s="29" t="s">
        <v>73</v>
      </c>
      <c r="C33" s="29" t="s">
        <v>194</v>
      </c>
      <c r="D33" s="25" t="n">
        <v>4100</v>
      </c>
      <c r="E33" s="25"/>
      <c r="F33" s="25" t="n">
        <v>1120</v>
      </c>
      <c r="G33" s="18" t="n">
        <f aca="false">IF(AND(D33="",F33=""),"",N(D33)-N(F33))</f>
        <v>2980</v>
      </c>
      <c r="H33" s="33" t="s">
        <v>195</v>
      </c>
      <c r="I33" s="34"/>
    </row>
    <row r="34" customFormat="false" ht="15" hidden="false" customHeight="false" outlineLevel="0" collapsed="false">
      <c r="A34" s="32" t="n">
        <v>46298</v>
      </c>
      <c r="B34" s="29" t="s">
        <v>73</v>
      </c>
      <c r="C34" s="29" t="s">
        <v>196</v>
      </c>
      <c r="D34" s="25" t="n">
        <v>1000</v>
      </c>
      <c r="E34" s="25"/>
      <c r="F34" s="25"/>
      <c r="G34" s="18" t="n">
        <f aca="false">IF(AND(D34="",F34=""),"",N(D34)-N(F34))</f>
        <v>1000</v>
      </c>
      <c r="H34" s="33" t="s">
        <v>197</v>
      </c>
      <c r="I34" s="34"/>
    </row>
    <row r="35" customFormat="false" ht="15" hidden="false" customHeight="false" outlineLevel="0" collapsed="false">
      <c r="A35" s="32" t="n">
        <v>46298</v>
      </c>
      <c r="B35" s="29" t="s">
        <v>73</v>
      </c>
      <c r="C35" s="29" t="s">
        <v>198</v>
      </c>
      <c r="D35" s="25" t="n">
        <v>50</v>
      </c>
      <c r="E35" s="25"/>
      <c r="F35" s="25"/>
      <c r="G35" s="18" t="n">
        <f aca="false">IF(AND(D35="",F35=""),"",N(D35)-N(F35))</f>
        <v>50</v>
      </c>
      <c r="H35" s="33" t="s">
        <v>199</v>
      </c>
      <c r="I35" s="34"/>
    </row>
    <row r="36" customFormat="false" ht="15" hidden="false" customHeight="false" outlineLevel="0" collapsed="false">
      <c r="A36" s="32" t="n">
        <v>46298</v>
      </c>
      <c r="B36" s="29" t="s">
        <v>73</v>
      </c>
      <c r="C36" s="29" t="s">
        <v>200</v>
      </c>
      <c r="D36" s="25" t="n">
        <v>10000</v>
      </c>
      <c r="E36" s="25"/>
      <c r="F36" s="25"/>
      <c r="G36" s="18" t="n">
        <f aca="false">IF(AND(D36="",F36=""),"",N(D36)-N(F36))</f>
        <v>10000</v>
      </c>
      <c r="H36" s="33" t="s">
        <v>201</v>
      </c>
      <c r="I36" s="34"/>
    </row>
    <row r="37" customFormat="false" ht="15" hidden="false" customHeight="false" outlineLevel="0" collapsed="false">
      <c r="A37" s="32" t="n">
        <v>46298</v>
      </c>
      <c r="B37" s="29" t="s">
        <v>73</v>
      </c>
      <c r="C37" s="29" t="s">
        <v>202</v>
      </c>
      <c r="D37" s="25" t="n">
        <v>100</v>
      </c>
      <c r="E37" s="25"/>
      <c r="F37" s="25"/>
      <c r="G37" s="18" t="n">
        <f aca="false">IF(AND(D37="",F37=""),"",N(D37)-N(F37))</f>
        <v>100</v>
      </c>
      <c r="H37" s="33" t="s">
        <v>203</v>
      </c>
      <c r="I37" s="34"/>
    </row>
    <row r="38" customFormat="false" ht="15" hidden="false" customHeight="false" outlineLevel="0" collapsed="false">
      <c r="A38" s="32" t="n">
        <v>46299</v>
      </c>
      <c r="B38" s="29" t="s">
        <v>73</v>
      </c>
      <c r="C38" s="29" t="s">
        <v>202</v>
      </c>
      <c r="D38" s="25" t="n">
        <v>2000</v>
      </c>
      <c r="E38" s="25"/>
      <c r="F38" s="25"/>
      <c r="G38" s="18" t="n">
        <f aca="false">IF(AND(D38="",F38=""),"",N(D38)-N(F38))</f>
        <v>2000</v>
      </c>
      <c r="H38" s="33" t="s">
        <v>204</v>
      </c>
      <c r="I38" s="34"/>
    </row>
    <row r="39" customFormat="false" ht="15" hidden="false" customHeight="false" outlineLevel="0" collapsed="false">
      <c r="A39" s="32" t="n">
        <v>46299</v>
      </c>
      <c r="B39" s="29" t="s">
        <v>73</v>
      </c>
      <c r="C39" s="29" t="s">
        <v>205</v>
      </c>
      <c r="D39" s="25" t="n">
        <v>150</v>
      </c>
      <c r="E39" s="25"/>
      <c r="F39" s="25"/>
      <c r="G39" s="18" t="n">
        <f aca="false">IF(AND(D39="",F39=""),"",N(D39)-N(F39))</f>
        <v>150</v>
      </c>
      <c r="H39" s="33" t="s">
        <v>206</v>
      </c>
      <c r="I39" s="34"/>
    </row>
    <row r="40" customFormat="false" ht="15" hidden="false" customHeight="false" outlineLevel="0" collapsed="false">
      <c r="A40" s="32" t="n">
        <v>46299</v>
      </c>
      <c r="B40" s="29" t="s">
        <v>73</v>
      </c>
      <c r="C40" s="29" t="s">
        <v>207</v>
      </c>
      <c r="D40" s="25" t="n">
        <v>1000</v>
      </c>
      <c r="E40" s="25"/>
      <c r="F40" s="25"/>
      <c r="G40" s="18" t="n">
        <f aca="false">IF(AND(D40="",F40=""),"",N(D40)-N(F40))</f>
        <v>1000</v>
      </c>
      <c r="H40" s="33" t="s">
        <v>208</v>
      </c>
      <c r="I40" s="34"/>
    </row>
    <row r="41" customFormat="false" ht="15" hidden="false" customHeight="false" outlineLevel="0" collapsed="false">
      <c r="A41" s="32" t="n">
        <v>46299</v>
      </c>
      <c r="B41" s="29" t="s">
        <v>73</v>
      </c>
      <c r="C41" s="29" t="s">
        <v>209</v>
      </c>
      <c r="D41" s="25" t="n">
        <v>1200</v>
      </c>
      <c r="E41" s="25"/>
      <c r="F41" s="25"/>
      <c r="G41" s="18" t="n">
        <f aca="false">IF(AND(D41="",F41=""),"",N(D41)-N(F41))</f>
        <v>1200</v>
      </c>
      <c r="H41" s="33" t="s">
        <v>210</v>
      </c>
      <c r="I41" s="34"/>
    </row>
    <row r="42" customFormat="false" ht="15" hidden="false" customHeight="false" outlineLevel="0" collapsed="false">
      <c r="A42" s="32" t="n">
        <v>46299</v>
      </c>
      <c r="B42" s="29" t="s">
        <v>73</v>
      </c>
      <c r="C42" s="29" t="s">
        <v>211</v>
      </c>
      <c r="D42" s="25" t="n">
        <v>500</v>
      </c>
      <c r="E42" s="25"/>
      <c r="F42" s="25"/>
      <c r="G42" s="18" t="n">
        <f aca="false">IF(AND(D42="",F42=""),"",N(D42)-N(F42))</f>
        <v>500</v>
      </c>
      <c r="H42" s="33" t="s">
        <v>212</v>
      </c>
      <c r="I42" s="34"/>
    </row>
    <row r="43" customFormat="false" ht="15" hidden="false" customHeight="false" outlineLevel="0" collapsed="false">
      <c r="A43" s="32" t="n">
        <v>46299</v>
      </c>
      <c r="B43" s="29" t="s">
        <v>73</v>
      </c>
      <c r="C43" s="29" t="s">
        <v>200</v>
      </c>
      <c r="D43" s="25"/>
      <c r="E43" s="25" t="n">
        <v>19190</v>
      </c>
      <c r="F43" s="25"/>
      <c r="G43" s="18" t="str">
        <f aca="false">IF(AND(D43="",F43=""),"",N(D43)-N(F43))</f>
        <v/>
      </c>
      <c r="H43" s="33" t="s">
        <v>213</v>
      </c>
      <c r="I43" s="34"/>
    </row>
    <row r="44" customFormat="false" ht="15" hidden="false" customHeight="false" outlineLevel="0" collapsed="false">
      <c r="A44" s="32" t="n">
        <v>46299</v>
      </c>
      <c r="B44" s="29" t="s">
        <v>73</v>
      </c>
      <c r="C44" s="29" t="s">
        <v>214</v>
      </c>
      <c r="D44" s="25" t="n">
        <v>500</v>
      </c>
      <c r="E44" s="25"/>
      <c r="F44" s="25"/>
      <c r="G44" s="18" t="n">
        <f aca="false">IF(AND(D44="",F44=""),"",N(D44)-N(F44))</f>
        <v>500</v>
      </c>
      <c r="H44" s="33" t="s">
        <v>215</v>
      </c>
      <c r="I44" s="34"/>
    </row>
    <row r="45" customFormat="false" ht="15" hidden="false" customHeight="false" outlineLevel="0" collapsed="false">
      <c r="A45" s="32" t="n">
        <v>46299</v>
      </c>
      <c r="B45" s="29" t="s">
        <v>73</v>
      </c>
      <c r="C45" s="29" t="s">
        <v>216</v>
      </c>
      <c r="D45" s="25" t="n">
        <v>1000</v>
      </c>
      <c r="E45" s="25"/>
      <c r="F45" s="25"/>
      <c r="G45" s="18" t="n">
        <f aca="false">IF(AND(D45="",F45=""),"",N(D45)-N(F45))</f>
        <v>1000</v>
      </c>
      <c r="H45" s="33" t="s">
        <v>217</v>
      </c>
      <c r="I45" s="34"/>
    </row>
    <row r="46" customFormat="false" ht="15" hidden="false" customHeight="false" outlineLevel="0" collapsed="false">
      <c r="A46" s="32" t="n">
        <v>46299</v>
      </c>
      <c r="B46" s="29" t="s">
        <v>73</v>
      </c>
      <c r="C46" s="29" t="s">
        <v>205</v>
      </c>
      <c r="D46" s="25" t="n">
        <v>50</v>
      </c>
      <c r="E46" s="25"/>
      <c r="F46" s="25"/>
      <c r="G46" s="18" t="n">
        <f aca="false">IF(AND(D46="",F46=""),"",N(D46)-N(F46))</f>
        <v>50</v>
      </c>
      <c r="H46" s="33" t="s">
        <v>218</v>
      </c>
      <c r="I46" s="34"/>
    </row>
    <row r="47" customFormat="false" ht="15" hidden="false" customHeight="false" outlineLevel="0" collapsed="false">
      <c r="A47" s="32" t="n">
        <v>46300</v>
      </c>
      <c r="B47" s="29" t="s">
        <v>73</v>
      </c>
      <c r="C47" s="29" t="s">
        <v>219</v>
      </c>
      <c r="D47" s="25" t="n">
        <v>500</v>
      </c>
      <c r="E47" s="25"/>
      <c r="F47" s="25"/>
      <c r="G47" s="18" t="n">
        <f aca="false">IF(AND(D47="",F47=""),"",N(D47)-N(F47))</f>
        <v>500</v>
      </c>
      <c r="H47" s="33" t="s">
        <v>220</v>
      </c>
      <c r="I47" s="34"/>
    </row>
    <row r="48" customFormat="false" ht="15" hidden="false" customHeight="false" outlineLevel="0" collapsed="false">
      <c r="A48" s="32" t="n">
        <v>46300</v>
      </c>
      <c r="B48" s="29" t="s">
        <v>73</v>
      </c>
      <c r="C48" s="29" t="s">
        <v>221</v>
      </c>
      <c r="D48" s="25" t="n">
        <v>50</v>
      </c>
      <c r="E48" s="25"/>
      <c r="F48" s="25"/>
      <c r="G48" s="18" t="n">
        <f aca="false">IF(AND(D48="",F48=""),"",N(D48)-N(F48))</f>
        <v>50</v>
      </c>
      <c r="H48" s="33" t="s">
        <v>222</v>
      </c>
      <c r="I48" s="34"/>
    </row>
    <row r="49" customFormat="false" ht="15" hidden="false" customHeight="false" outlineLevel="0" collapsed="false">
      <c r="A49" s="32" t="n">
        <v>46300</v>
      </c>
      <c r="B49" s="29" t="s">
        <v>73</v>
      </c>
      <c r="C49" s="29" t="s">
        <v>223</v>
      </c>
      <c r="D49" s="25" t="n">
        <v>1000</v>
      </c>
      <c r="E49" s="25" t="n">
        <v>4000</v>
      </c>
      <c r="F49" s="25"/>
      <c r="G49" s="18" t="n">
        <f aca="false">IF(AND(D49="",F49=""),"",N(D49)-N(F49))</f>
        <v>1000</v>
      </c>
      <c r="H49" s="33" t="s">
        <v>224</v>
      </c>
      <c r="I49" s="34"/>
    </row>
    <row r="50" customFormat="false" ht="15" hidden="false" customHeight="false" outlineLevel="0" collapsed="false">
      <c r="A50" s="32" t="n">
        <v>46296</v>
      </c>
      <c r="B50" s="29" t="s">
        <v>71</v>
      </c>
      <c r="C50" s="29" t="s">
        <v>225</v>
      </c>
      <c r="D50" s="25" t="n">
        <v>160</v>
      </c>
      <c r="E50" s="25"/>
      <c r="F50" s="25"/>
      <c r="G50" s="18" t="n">
        <f aca="false">IF(AND(D50="",F50=""),"",N(D50)-N(F50))</f>
        <v>160</v>
      </c>
      <c r="H50" s="33" t="s">
        <v>226</v>
      </c>
      <c r="I50" s="34"/>
    </row>
    <row r="51" customFormat="false" ht="15" hidden="false" customHeight="false" outlineLevel="0" collapsed="false">
      <c r="A51" s="32" t="n">
        <v>46296</v>
      </c>
      <c r="B51" s="29" t="s">
        <v>71</v>
      </c>
      <c r="C51" s="29" t="s">
        <v>227</v>
      </c>
      <c r="D51" s="25" t="n">
        <v>100</v>
      </c>
      <c r="E51" s="25"/>
      <c r="F51" s="25" t="n">
        <v>251</v>
      </c>
      <c r="G51" s="18" t="n">
        <f aca="false">IF(AND(D51="",F51=""),"",N(D51)-N(F51))</f>
        <v>-151</v>
      </c>
      <c r="H51" s="33" t="s">
        <v>228</v>
      </c>
      <c r="I51" s="34"/>
    </row>
    <row r="52" customFormat="false" ht="15" hidden="false" customHeight="false" outlineLevel="0" collapsed="false">
      <c r="A52" s="32" t="n">
        <v>46297</v>
      </c>
      <c r="B52" s="29" t="s">
        <v>71</v>
      </c>
      <c r="C52" s="29" t="s">
        <v>227</v>
      </c>
      <c r="D52" s="25" t="n">
        <v>50</v>
      </c>
      <c r="E52" s="25"/>
      <c r="F52" s="25"/>
      <c r="G52" s="18" t="n">
        <f aca="false">IF(AND(D52="",F52=""),"",N(D52)-N(F52))</f>
        <v>50</v>
      </c>
      <c r="H52" s="33" t="s">
        <v>229</v>
      </c>
      <c r="I52" s="34"/>
    </row>
    <row r="53" customFormat="false" ht="15" hidden="false" customHeight="false" outlineLevel="0" collapsed="false">
      <c r="A53" s="32" t="n">
        <v>46298</v>
      </c>
      <c r="B53" s="29" t="s">
        <v>71</v>
      </c>
      <c r="C53" s="29" t="s">
        <v>230</v>
      </c>
      <c r="D53" s="25" t="n">
        <v>7800</v>
      </c>
      <c r="E53" s="25" t="n">
        <v>4600</v>
      </c>
      <c r="F53" s="25" t="n">
        <v>500</v>
      </c>
      <c r="G53" s="18" t="n">
        <f aca="false">IF(AND(D53="",F53=""),"",N(D53)-N(F53))</f>
        <v>7300</v>
      </c>
      <c r="H53" s="33" t="s">
        <v>231</v>
      </c>
      <c r="I53" s="34"/>
    </row>
    <row r="54" customFormat="false" ht="15" hidden="false" customHeight="false" outlineLevel="0" collapsed="false">
      <c r="A54" s="32" t="n">
        <v>46299</v>
      </c>
      <c r="B54" s="29" t="s">
        <v>71</v>
      </c>
      <c r="C54" s="29" t="s">
        <v>232</v>
      </c>
      <c r="D54" s="25" t="n">
        <v>100</v>
      </c>
      <c r="E54" s="25"/>
      <c r="F54" s="25"/>
      <c r="G54" s="18" t="n">
        <f aca="false">IF(AND(D54="",F54=""),"",N(D54)-N(F54))</f>
        <v>100</v>
      </c>
      <c r="H54" s="33" t="s">
        <v>233</v>
      </c>
      <c r="I54" s="34"/>
    </row>
    <row r="55" customFormat="false" ht="15" hidden="false" customHeight="false" outlineLevel="0" collapsed="false">
      <c r="A55" s="35" t="n">
        <v>46300</v>
      </c>
      <c r="B55" s="36" t="s">
        <v>71</v>
      </c>
      <c r="C55" s="36" t="s">
        <v>230</v>
      </c>
      <c r="D55" s="37"/>
      <c r="E55" s="37" t="n">
        <v>4600</v>
      </c>
      <c r="F55" s="37"/>
      <c r="G55" s="38" t="str">
        <f aca="false">IF(AND(D55="",F55=""),"",N(D55)-N(F55))</f>
        <v/>
      </c>
      <c r="H55" s="39" t="s">
        <v>234</v>
      </c>
      <c r="I55" s="40" t="s">
        <v>235</v>
      </c>
    </row>
    <row r="56" customFormat="false" ht="15" hidden="false" customHeight="false" outlineLevel="0" collapsed="false">
      <c r="A56" s="32" t="n">
        <v>46296</v>
      </c>
      <c r="B56" s="29" t="s">
        <v>77</v>
      </c>
      <c r="C56" s="29" t="s">
        <v>236</v>
      </c>
      <c r="D56" s="25" t="n">
        <v>200</v>
      </c>
      <c r="E56" s="25"/>
      <c r="F56" s="25"/>
      <c r="G56" s="18" t="n">
        <f aca="false">IF(AND(D56="",F56=""),"",N(D56)-N(F56))</f>
        <v>200</v>
      </c>
      <c r="H56" s="33" t="s">
        <v>237</v>
      </c>
      <c r="I56" s="34"/>
    </row>
    <row r="57" customFormat="false" ht="15" hidden="false" customHeight="false" outlineLevel="0" collapsed="false">
      <c r="A57" s="35" t="n">
        <v>46296</v>
      </c>
      <c r="B57" s="36" t="s">
        <v>77</v>
      </c>
      <c r="C57" s="36" t="s">
        <v>184</v>
      </c>
      <c r="D57" s="37" t="n">
        <v>500</v>
      </c>
      <c r="E57" s="37"/>
      <c r="F57" s="37" t="n">
        <v>500</v>
      </c>
      <c r="G57" s="38" t="n">
        <f aca="false">IF(AND(D57="",F57=""),"",N(D57)-N(F57))</f>
        <v>0</v>
      </c>
      <c r="H57" s="39" t="s">
        <v>238</v>
      </c>
      <c r="I57" s="40" t="s">
        <v>186</v>
      </c>
    </row>
    <row r="58" customFormat="false" ht="15" hidden="false" customHeight="false" outlineLevel="0" collapsed="false">
      <c r="A58" s="32" t="n">
        <v>46296</v>
      </c>
      <c r="B58" s="29" t="s">
        <v>77</v>
      </c>
      <c r="C58" s="29" t="s">
        <v>239</v>
      </c>
      <c r="D58" s="25" t="n">
        <v>50</v>
      </c>
      <c r="E58" s="25"/>
      <c r="F58" s="25"/>
      <c r="G58" s="18" t="n">
        <f aca="false">IF(AND(D58="",F58=""),"",N(D58)-N(F58))</f>
        <v>50</v>
      </c>
      <c r="H58" s="33" t="s">
        <v>240</v>
      </c>
      <c r="I58" s="34"/>
    </row>
    <row r="59" customFormat="false" ht="15" hidden="false" customHeight="false" outlineLevel="0" collapsed="false">
      <c r="A59" s="35"/>
      <c r="B59" s="36" t="s">
        <v>80</v>
      </c>
      <c r="C59" s="36" t="s">
        <v>241</v>
      </c>
      <c r="D59" s="37" t="n">
        <v>1000</v>
      </c>
      <c r="E59" s="37"/>
      <c r="F59" s="37"/>
      <c r="G59" s="38" t="n">
        <f aca="false">IF(AND(D59="",F59=""),"",N(D59)-N(F59))</f>
        <v>1000</v>
      </c>
      <c r="H59" s="39" t="s">
        <v>242</v>
      </c>
      <c r="I59" s="40" t="s">
        <v>243</v>
      </c>
    </row>
    <row r="60" customFormat="false" ht="15" hidden="false" customHeight="false" outlineLevel="0" collapsed="false">
      <c r="A60" s="35"/>
      <c r="B60" s="36" t="s">
        <v>80</v>
      </c>
      <c r="C60" s="36" t="s">
        <v>244</v>
      </c>
      <c r="D60" s="37" t="n">
        <v>3000</v>
      </c>
      <c r="E60" s="37"/>
      <c r="F60" s="37"/>
      <c r="G60" s="38" t="n">
        <f aca="false">IF(AND(D60="",F60=""),"",N(D60)-N(F60))</f>
        <v>3000</v>
      </c>
      <c r="H60" s="39" t="s">
        <v>245</v>
      </c>
      <c r="I60" s="40" t="s">
        <v>243</v>
      </c>
    </row>
    <row r="61" customFormat="false" ht="15" hidden="false" customHeight="false" outlineLevel="0" collapsed="false">
      <c r="A61" s="32" t="n">
        <v>46299</v>
      </c>
      <c r="B61" s="29" t="s">
        <v>83</v>
      </c>
      <c r="C61" s="29" t="s">
        <v>246</v>
      </c>
      <c r="D61" s="25" t="n">
        <v>1000</v>
      </c>
      <c r="E61" s="25"/>
      <c r="F61" s="25"/>
      <c r="G61" s="18" t="n">
        <f aca="false">IF(AND(D61="",F61=""),"",N(D61)-N(F61))</f>
        <v>1000</v>
      </c>
      <c r="H61" s="33" t="s">
        <v>247</v>
      </c>
      <c r="I61" s="34"/>
    </row>
    <row r="62" customFormat="false" ht="15" hidden="false" customHeight="false" outlineLevel="0" collapsed="false">
      <c r="A62" s="32" t="n">
        <v>46300</v>
      </c>
      <c r="B62" s="29" t="s">
        <v>83</v>
      </c>
      <c r="C62" s="29" t="s">
        <v>248</v>
      </c>
      <c r="D62" s="25" t="n">
        <v>2500</v>
      </c>
      <c r="E62" s="25"/>
      <c r="F62" s="25"/>
      <c r="G62" s="18" t="n">
        <f aca="false">IF(AND(D62="",F62=""),"",N(D62)-N(F62))</f>
        <v>2500</v>
      </c>
      <c r="H62" s="33" t="s">
        <v>249</v>
      </c>
      <c r="I62" s="34"/>
    </row>
    <row r="63" customFormat="false" ht="15" hidden="false" customHeight="false" outlineLevel="0" collapsed="false">
      <c r="A63" s="32"/>
      <c r="B63" s="29"/>
      <c r="C63" s="29"/>
      <c r="D63" s="25"/>
      <c r="E63" s="25"/>
      <c r="F63" s="25"/>
      <c r="G63" s="18" t="str">
        <f aca="false">IF(AND(D63="",F63=""),"",N(D63)-N(F63))</f>
        <v/>
      </c>
      <c r="H63" s="33"/>
      <c r="I63" s="34"/>
    </row>
    <row r="64" customFormat="false" ht="15" hidden="false" customHeight="false" outlineLevel="0" collapsed="false">
      <c r="A64" s="32"/>
      <c r="B64" s="29"/>
      <c r="C64" s="29"/>
      <c r="D64" s="25"/>
      <c r="E64" s="25"/>
      <c r="F64" s="25"/>
      <c r="G64" s="18" t="str">
        <f aca="false">IF(AND(D64="",F64=""),"",N(D64)-N(F64))</f>
        <v/>
      </c>
      <c r="H64" s="33"/>
      <c r="I64" s="34"/>
    </row>
    <row r="65" customFormat="false" ht="15" hidden="false" customHeight="false" outlineLevel="0" collapsed="false">
      <c r="A65" s="32"/>
      <c r="B65" s="29"/>
      <c r="C65" s="29"/>
      <c r="D65" s="25"/>
      <c r="E65" s="25"/>
      <c r="F65" s="25"/>
      <c r="G65" s="18" t="str">
        <f aca="false">IF(AND(D65="",F65=""),"",N(D65)-N(F65))</f>
        <v/>
      </c>
      <c r="H65" s="33"/>
      <c r="I65" s="34"/>
    </row>
    <row r="66" customFormat="false" ht="15" hidden="false" customHeight="false" outlineLevel="0" collapsed="false">
      <c r="A66" s="32"/>
      <c r="B66" s="29"/>
      <c r="C66" s="29"/>
      <c r="D66" s="25"/>
      <c r="E66" s="25"/>
      <c r="F66" s="25"/>
      <c r="G66" s="18" t="str">
        <f aca="false">IF(AND(D66="",F66=""),"",N(D66)-N(F66))</f>
        <v/>
      </c>
      <c r="H66" s="33"/>
      <c r="I66" s="34"/>
    </row>
    <row r="67" customFormat="false" ht="15" hidden="false" customHeight="false" outlineLevel="0" collapsed="false">
      <c r="A67" s="32"/>
      <c r="B67" s="29"/>
      <c r="C67" s="29"/>
      <c r="D67" s="25"/>
      <c r="E67" s="25"/>
      <c r="F67" s="25"/>
      <c r="G67" s="18" t="str">
        <f aca="false">IF(AND(D67="",F67=""),"",N(D67)-N(F67))</f>
        <v/>
      </c>
      <c r="H67" s="33"/>
      <c r="I67" s="34"/>
    </row>
    <row r="68" customFormat="false" ht="15" hidden="false" customHeight="false" outlineLevel="0" collapsed="false">
      <c r="A68" s="32"/>
      <c r="B68" s="29"/>
      <c r="C68" s="29"/>
      <c r="D68" s="25"/>
      <c r="E68" s="25"/>
      <c r="F68" s="25"/>
      <c r="G68" s="18" t="str">
        <f aca="false">IF(AND(D68="",F68=""),"",N(D68)-N(F68))</f>
        <v/>
      </c>
      <c r="H68" s="33"/>
      <c r="I68" s="34"/>
    </row>
    <row r="69" customFormat="false" ht="15" hidden="false" customHeight="false" outlineLevel="0" collapsed="false">
      <c r="A69" s="32"/>
      <c r="B69" s="29"/>
      <c r="C69" s="29"/>
      <c r="D69" s="25"/>
      <c r="E69" s="25"/>
      <c r="F69" s="25"/>
      <c r="G69" s="18" t="str">
        <f aca="false">IF(AND(D69="",F69=""),"",N(D69)-N(F69))</f>
        <v/>
      </c>
      <c r="H69" s="33"/>
      <c r="I69" s="34"/>
    </row>
    <row r="70" customFormat="false" ht="15" hidden="false" customHeight="false" outlineLevel="0" collapsed="false">
      <c r="A70" s="32"/>
      <c r="B70" s="29"/>
      <c r="C70" s="29"/>
      <c r="D70" s="25"/>
      <c r="E70" s="25"/>
      <c r="F70" s="25"/>
      <c r="G70" s="18" t="str">
        <f aca="false">IF(AND(D70="",F70=""),"",N(D70)-N(F70))</f>
        <v/>
      </c>
      <c r="H70" s="33"/>
      <c r="I70" s="34"/>
    </row>
    <row r="71" customFormat="false" ht="15" hidden="false" customHeight="false" outlineLevel="0" collapsed="false">
      <c r="A71" s="32"/>
      <c r="B71" s="29"/>
      <c r="C71" s="29"/>
      <c r="D71" s="25"/>
      <c r="E71" s="25"/>
      <c r="F71" s="25"/>
      <c r="G71" s="18" t="str">
        <f aca="false">IF(AND(D71="",F71=""),"",N(D71)-N(F71))</f>
        <v/>
      </c>
      <c r="H71" s="33"/>
      <c r="I71" s="34"/>
    </row>
    <row r="72" customFormat="false" ht="15" hidden="false" customHeight="false" outlineLevel="0" collapsed="false">
      <c r="A72" s="32"/>
      <c r="B72" s="29"/>
      <c r="C72" s="29"/>
      <c r="D72" s="25"/>
      <c r="E72" s="25"/>
      <c r="F72" s="25"/>
      <c r="G72" s="18" t="str">
        <f aca="false">IF(AND(D72="",F72=""),"",N(D72)-N(F72))</f>
        <v/>
      </c>
      <c r="H72" s="33"/>
      <c r="I72" s="34"/>
    </row>
    <row r="73" customFormat="false" ht="15" hidden="false" customHeight="false" outlineLevel="0" collapsed="false">
      <c r="A73" s="32"/>
      <c r="B73" s="29"/>
      <c r="C73" s="29"/>
      <c r="D73" s="25"/>
      <c r="E73" s="25"/>
      <c r="F73" s="25"/>
      <c r="G73" s="18" t="str">
        <f aca="false">IF(AND(D73="",F73=""),"",N(D73)-N(F73))</f>
        <v/>
      </c>
      <c r="H73" s="33"/>
      <c r="I73" s="34"/>
    </row>
    <row r="74" customFormat="false" ht="15" hidden="false" customHeight="false" outlineLevel="0" collapsed="false">
      <c r="A74" s="32"/>
      <c r="B74" s="29"/>
      <c r="C74" s="29"/>
      <c r="D74" s="25"/>
      <c r="E74" s="25"/>
      <c r="F74" s="25"/>
      <c r="G74" s="18" t="str">
        <f aca="false">IF(AND(D74="",F74=""),"",N(D74)-N(F74))</f>
        <v/>
      </c>
      <c r="H74" s="33"/>
      <c r="I74" s="34"/>
    </row>
    <row r="75" customFormat="false" ht="15" hidden="false" customHeight="false" outlineLevel="0" collapsed="false">
      <c r="A75" s="32"/>
      <c r="B75" s="29"/>
      <c r="C75" s="29"/>
      <c r="D75" s="25"/>
      <c r="E75" s="25"/>
      <c r="F75" s="25"/>
      <c r="G75" s="18" t="str">
        <f aca="false">IF(AND(D75="",F75=""),"",N(D75)-N(F75))</f>
        <v/>
      </c>
      <c r="H75" s="33"/>
      <c r="I75" s="34"/>
    </row>
    <row r="76" customFormat="false" ht="15" hidden="false" customHeight="false" outlineLevel="0" collapsed="false">
      <c r="A76" s="32"/>
      <c r="B76" s="29"/>
      <c r="C76" s="29"/>
      <c r="D76" s="25"/>
      <c r="E76" s="25"/>
      <c r="F76" s="25"/>
      <c r="G76" s="18" t="str">
        <f aca="false">IF(AND(D76="",F76=""),"",N(D76)-N(F76))</f>
        <v/>
      </c>
      <c r="H76" s="33"/>
      <c r="I76" s="34"/>
    </row>
    <row r="77" customFormat="false" ht="15" hidden="false" customHeight="false" outlineLevel="0" collapsed="false">
      <c r="A77" s="32"/>
      <c r="B77" s="29"/>
      <c r="C77" s="29"/>
      <c r="D77" s="25"/>
      <c r="E77" s="25"/>
      <c r="F77" s="25"/>
      <c r="G77" s="18" t="str">
        <f aca="false">IF(AND(D77="",F77=""),"",N(D77)-N(F77))</f>
        <v/>
      </c>
      <c r="H77" s="33"/>
      <c r="I77" s="34"/>
    </row>
    <row r="78" customFormat="false" ht="15" hidden="false" customHeight="false" outlineLevel="0" collapsed="false">
      <c r="A78" s="32"/>
      <c r="B78" s="29"/>
      <c r="C78" s="29"/>
      <c r="D78" s="25"/>
      <c r="E78" s="25"/>
      <c r="F78" s="25"/>
      <c r="G78" s="18" t="str">
        <f aca="false">IF(AND(D78="",F78=""),"",N(D78)-N(F78))</f>
        <v/>
      </c>
      <c r="H78" s="33"/>
      <c r="I78" s="34"/>
    </row>
    <row r="79" customFormat="false" ht="15" hidden="false" customHeight="false" outlineLevel="0" collapsed="false">
      <c r="A79" s="32"/>
      <c r="B79" s="29"/>
      <c r="C79" s="29"/>
      <c r="D79" s="25"/>
      <c r="E79" s="25"/>
      <c r="F79" s="25"/>
      <c r="G79" s="18" t="str">
        <f aca="false">IF(AND(D79="",F79=""),"",N(D79)-N(F79))</f>
        <v/>
      </c>
      <c r="H79" s="33"/>
      <c r="I79" s="34"/>
    </row>
    <row r="80" customFormat="false" ht="15" hidden="false" customHeight="false" outlineLevel="0" collapsed="false">
      <c r="A80" s="32"/>
      <c r="B80" s="29"/>
      <c r="C80" s="29"/>
      <c r="D80" s="25"/>
      <c r="E80" s="25"/>
      <c r="F80" s="25"/>
      <c r="G80" s="18" t="str">
        <f aca="false">IF(AND(D80="",F80=""),"",N(D80)-N(F80))</f>
        <v/>
      </c>
      <c r="H80" s="33"/>
      <c r="I80" s="34"/>
    </row>
    <row r="81" customFormat="false" ht="15" hidden="false" customHeight="false" outlineLevel="0" collapsed="false">
      <c r="A81" s="32"/>
      <c r="B81" s="29"/>
      <c r="C81" s="29"/>
      <c r="D81" s="25"/>
      <c r="E81" s="25"/>
      <c r="F81" s="25"/>
      <c r="G81" s="18" t="str">
        <f aca="false">IF(AND(D81="",F81=""),"",N(D81)-N(F81))</f>
        <v/>
      </c>
      <c r="H81" s="33"/>
      <c r="I81" s="34"/>
    </row>
    <row r="82" customFormat="false" ht="15" hidden="false" customHeight="false" outlineLevel="0" collapsed="false">
      <c r="A82" s="32"/>
      <c r="B82" s="29"/>
      <c r="C82" s="29"/>
      <c r="D82" s="25"/>
      <c r="E82" s="25"/>
      <c r="F82" s="25"/>
      <c r="G82" s="18" t="str">
        <f aca="false">IF(AND(D82="",F82=""),"",N(D82)-N(F82))</f>
        <v/>
      </c>
      <c r="H82" s="33"/>
      <c r="I82" s="34"/>
    </row>
    <row r="83" customFormat="false" ht="15" hidden="false" customHeight="false" outlineLevel="0" collapsed="false">
      <c r="A83" s="32"/>
      <c r="B83" s="29"/>
      <c r="C83" s="29"/>
      <c r="D83" s="25"/>
      <c r="E83" s="25"/>
      <c r="F83" s="25"/>
      <c r="G83" s="18" t="str">
        <f aca="false">IF(AND(D83="",F83=""),"",N(D83)-N(F83))</f>
        <v/>
      </c>
      <c r="H83" s="33"/>
      <c r="I83" s="34"/>
    </row>
    <row r="84" customFormat="false" ht="15" hidden="false" customHeight="false" outlineLevel="0" collapsed="false">
      <c r="A84" s="32"/>
      <c r="B84" s="29"/>
      <c r="C84" s="29"/>
      <c r="D84" s="25"/>
      <c r="E84" s="25"/>
      <c r="F84" s="25"/>
      <c r="G84" s="18" t="str">
        <f aca="false">IF(AND(D84="",F84=""),"",N(D84)-N(F84))</f>
        <v/>
      </c>
      <c r="H84" s="33"/>
      <c r="I84" s="34"/>
    </row>
    <row r="85" customFormat="false" ht="15" hidden="false" customHeight="false" outlineLevel="0" collapsed="false">
      <c r="A85" s="32"/>
      <c r="B85" s="29"/>
      <c r="C85" s="29"/>
      <c r="D85" s="25"/>
      <c r="E85" s="25"/>
      <c r="F85" s="25"/>
      <c r="G85" s="18" t="str">
        <f aca="false">IF(AND(D85="",F85=""),"",N(D85)-N(F85))</f>
        <v/>
      </c>
      <c r="H85" s="33"/>
      <c r="I85" s="34"/>
    </row>
    <row r="86" customFormat="false" ht="15" hidden="false" customHeight="false" outlineLevel="0" collapsed="false">
      <c r="A86" s="32"/>
      <c r="B86" s="29"/>
      <c r="C86" s="29"/>
      <c r="D86" s="25"/>
      <c r="E86" s="25"/>
      <c r="F86" s="25"/>
      <c r="G86" s="18" t="str">
        <f aca="false">IF(AND(D86="",F86=""),"",N(D86)-N(F86))</f>
        <v/>
      </c>
      <c r="H86" s="33"/>
      <c r="I86" s="34"/>
    </row>
    <row r="87" customFormat="false" ht="15" hidden="false" customHeight="false" outlineLevel="0" collapsed="false">
      <c r="A87" s="32"/>
      <c r="B87" s="29"/>
      <c r="C87" s="29"/>
      <c r="D87" s="25"/>
      <c r="E87" s="25"/>
      <c r="F87" s="25"/>
      <c r="G87" s="18" t="str">
        <f aca="false">IF(AND(D87="",F87=""),"",N(D87)-N(F87))</f>
        <v/>
      </c>
      <c r="H87" s="33"/>
      <c r="I87" s="34"/>
    </row>
    <row r="88" customFormat="false" ht="15" hidden="false" customHeight="false" outlineLevel="0" collapsed="false">
      <c r="A88" s="32"/>
      <c r="B88" s="29"/>
      <c r="C88" s="29"/>
      <c r="D88" s="25"/>
      <c r="E88" s="25"/>
      <c r="F88" s="25"/>
      <c r="G88" s="18" t="str">
        <f aca="false">IF(AND(D88="",F88=""),"",N(D88)-N(F88))</f>
        <v/>
      </c>
      <c r="H88" s="33"/>
      <c r="I88" s="34"/>
    </row>
    <row r="89" customFormat="false" ht="15" hidden="false" customHeight="false" outlineLevel="0" collapsed="false">
      <c r="A89" s="32"/>
      <c r="B89" s="29"/>
      <c r="C89" s="29"/>
      <c r="D89" s="25"/>
      <c r="E89" s="25"/>
      <c r="F89" s="25"/>
      <c r="G89" s="18" t="str">
        <f aca="false">IF(AND(D89="",F89=""),"",N(D89)-N(F89))</f>
        <v/>
      </c>
      <c r="H89" s="33"/>
      <c r="I89" s="34"/>
    </row>
    <row r="90" customFormat="false" ht="15" hidden="false" customHeight="false" outlineLevel="0" collapsed="false">
      <c r="A90" s="32"/>
      <c r="B90" s="29"/>
      <c r="C90" s="29"/>
      <c r="D90" s="25"/>
      <c r="E90" s="25"/>
      <c r="F90" s="25"/>
      <c r="G90" s="18" t="str">
        <f aca="false">IF(AND(D90="",F90=""),"",N(D90)-N(F90))</f>
        <v/>
      </c>
      <c r="H90" s="33"/>
      <c r="I90" s="34"/>
    </row>
    <row r="91" customFormat="false" ht="15" hidden="false" customHeight="false" outlineLevel="0" collapsed="false">
      <c r="A91" s="32"/>
      <c r="B91" s="29"/>
      <c r="C91" s="29"/>
      <c r="D91" s="25"/>
      <c r="E91" s="25"/>
      <c r="F91" s="25"/>
      <c r="G91" s="18" t="str">
        <f aca="false">IF(AND(D91="",F91=""),"",N(D91)-N(F91))</f>
        <v/>
      </c>
      <c r="H91" s="33"/>
      <c r="I91" s="34"/>
    </row>
    <row r="92" customFormat="false" ht="15" hidden="false" customHeight="false" outlineLevel="0" collapsed="false">
      <c r="A92" s="32"/>
      <c r="B92" s="29"/>
      <c r="C92" s="29"/>
      <c r="D92" s="25"/>
      <c r="E92" s="25"/>
      <c r="F92" s="25"/>
      <c r="G92" s="18" t="str">
        <f aca="false">IF(AND(D92="",F92=""),"",N(D92)-N(F92))</f>
        <v/>
      </c>
      <c r="H92" s="33"/>
      <c r="I92" s="34"/>
    </row>
    <row r="93" customFormat="false" ht="15" hidden="false" customHeight="false" outlineLevel="0" collapsed="false">
      <c r="A93" s="32"/>
      <c r="B93" s="29"/>
      <c r="C93" s="29"/>
      <c r="D93" s="25"/>
      <c r="E93" s="25"/>
      <c r="F93" s="25"/>
      <c r="G93" s="18" t="str">
        <f aca="false">IF(AND(D93="",F93=""),"",N(D93)-N(F93))</f>
        <v/>
      </c>
      <c r="H93" s="33"/>
      <c r="I93" s="34"/>
    </row>
    <row r="94" customFormat="false" ht="15" hidden="false" customHeight="false" outlineLevel="0" collapsed="false">
      <c r="A94" s="32"/>
      <c r="B94" s="29"/>
      <c r="C94" s="29"/>
      <c r="D94" s="25"/>
      <c r="E94" s="25"/>
      <c r="F94" s="25"/>
      <c r="G94" s="18" t="str">
        <f aca="false">IF(AND(D94="",F94=""),"",N(D94)-N(F94))</f>
        <v/>
      </c>
      <c r="H94" s="33"/>
      <c r="I94" s="34"/>
    </row>
    <row r="95" customFormat="false" ht="15" hidden="false" customHeight="false" outlineLevel="0" collapsed="false">
      <c r="A95" s="32"/>
      <c r="B95" s="29"/>
      <c r="C95" s="29"/>
      <c r="D95" s="25"/>
      <c r="E95" s="25"/>
      <c r="F95" s="25"/>
      <c r="G95" s="18" t="str">
        <f aca="false">IF(AND(D95="",F95=""),"",N(D95)-N(F95))</f>
        <v/>
      </c>
      <c r="H95" s="33"/>
      <c r="I95" s="34"/>
    </row>
    <row r="96" customFormat="false" ht="15" hidden="false" customHeight="false" outlineLevel="0" collapsed="false">
      <c r="A96" s="32"/>
      <c r="B96" s="29"/>
      <c r="C96" s="29"/>
      <c r="D96" s="25"/>
      <c r="E96" s="25"/>
      <c r="F96" s="25"/>
      <c r="G96" s="18" t="str">
        <f aca="false">IF(AND(D96="",F96=""),"",N(D96)-N(F96))</f>
        <v/>
      </c>
      <c r="H96" s="33"/>
      <c r="I96" s="34"/>
    </row>
    <row r="97" customFormat="false" ht="15" hidden="false" customHeight="false" outlineLevel="0" collapsed="false">
      <c r="A97" s="32"/>
      <c r="B97" s="29"/>
      <c r="C97" s="29"/>
      <c r="D97" s="25"/>
      <c r="E97" s="25"/>
      <c r="F97" s="25"/>
      <c r="G97" s="18" t="str">
        <f aca="false">IF(AND(D97="",F97=""),"",N(D97)-N(F97))</f>
        <v/>
      </c>
      <c r="H97" s="33"/>
      <c r="I97" s="34"/>
    </row>
    <row r="98" customFormat="false" ht="15" hidden="false" customHeight="false" outlineLevel="0" collapsed="false">
      <c r="A98" s="32"/>
      <c r="B98" s="29"/>
      <c r="C98" s="29"/>
      <c r="D98" s="25"/>
      <c r="E98" s="25"/>
      <c r="F98" s="25"/>
      <c r="G98" s="18" t="str">
        <f aca="false">IF(AND(D98="",F98=""),"",N(D98)-N(F98))</f>
        <v/>
      </c>
      <c r="H98" s="33"/>
      <c r="I98" s="34"/>
    </row>
    <row r="99" customFormat="false" ht="15" hidden="false" customHeight="false" outlineLevel="0" collapsed="false">
      <c r="A99" s="32"/>
      <c r="B99" s="29"/>
      <c r="C99" s="29"/>
      <c r="D99" s="25"/>
      <c r="E99" s="25"/>
      <c r="F99" s="25"/>
      <c r="G99" s="18" t="str">
        <f aca="false">IF(AND(D99="",F99=""),"",N(D99)-N(F99))</f>
        <v/>
      </c>
      <c r="H99" s="33"/>
      <c r="I99" s="34"/>
    </row>
    <row r="100" customFormat="false" ht="15" hidden="false" customHeight="false" outlineLevel="0" collapsed="false">
      <c r="A100" s="32"/>
      <c r="B100" s="29"/>
      <c r="C100" s="29"/>
      <c r="D100" s="25"/>
      <c r="E100" s="25"/>
      <c r="F100" s="25"/>
      <c r="G100" s="18" t="str">
        <f aca="false">IF(AND(D100="",F100=""),"",N(D100)-N(F100))</f>
        <v/>
      </c>
      <c r="H100" s="33"/>
      <c r="I100" s="34"/>
    </row>
    <row r="101" customFormat="false" ht="15" hidden="false" customHeight="false" outlineLevel="0" collapsed="false">
      <c r="A101" s="32"/>
      <c r="B101" s="29"/>
      <c r="C101" s="29"/>
      <c r="D101" s="25"/>
      <c r="E101" s="25"/>
      <c r="F101" s="25"/>
      <c r="G101" s="18" t="str">
        <f aca="false">IF(AND(D101="",F101=""),"",N(D101)-N(F101))</f>
        <v/>
      </c>
      <c r="H101" s="33"/>
      <c r="I101" s="34"/>
    </row>
    <row r="102" customFormat="false" ht="15" hidden="false" customHeight="false" outlineLevel="0" collapsed="false">
      <c r="A102" s="32"/>
      <c r="B102" s="29"/>
      <c r="C102" s="29"/>
      <c r="D102" s="25"/>
      <c r="E102" s="25"/>
      <c r="F102" s="25"/>
      <c r="G102" s="18" t="str">
        <f aca="false">IF(AND(D102="",F102=""),"",N(D102)-N(F102))</f>
        <v/>
      </c>
      <c r="H102" s="33"/>
      <c r="I102" s="34"/>
    </row>
    <row r="103" customFormat="false" ht="15" hidden="false" customHeight="false" outlineLevel="0" collapsed="false">
      <c r="A103" s="32"/>
      <c r="B103" s="29"/>
      <c r="C103" s="29"/>
      <c r="D103" s="25"/>
      <c r="E103" s="25"/>
      <c r="F103" s="25"/>
      <c r="G103" s="18" t="str">
        <f aca="false">IF(AND(D103="",F103=""),"",N(D103)-N(F103))</f>
        <v/>
      </c>
      <c r="H103" s="33"/>
      <c r="I103" s="34"/>
    </row>
    <row r="104" customFormat="false" ht="15" hidden="false" customHeight="false" outlineLevel="0" collapsed="false">
      <c r="A104" s="32"/>
      <c r="B104" s="29"/>
      <c r="C104" s="29"/>
      <c r="D104" s="25"/>
      <c r="E104" s="25"/>
      <c r="F104" s="25"/>
      <c r="G104" s="18" t="str">
        <f aca="false">IF(AND(D104="",F104=""),"",N(D104)-N(F104))</f>
        <v/>
      </c>
      <c r="H104" s="33"/>
      <c r="I104" s="34"/>
    </row>
    <row r="105" customFormat="false" ht="15" hidden="false" customHeight="false" outlineLevel="0" collapsed="false">
      <c r="A105" s="32"/>
      <c r="B105" s="29"/>
      <c r="C105" s="29"/>
      <c r="D105" s="25"/>
      <c r="E105" s="25"/>
      <c r="F105" s="25"/>
      <c r="G105" s="18" t="str">
        <f aca="false">IF(AND(D105="",F105=""),"",N(D105)-N(F105))</f>
        <v/>
      </c>
      <c r="H105" s="33"/>
      <c r="I105" s="34"/>
    </row>
    <row r="106" customFormat="false" ht="15" hidden="false" customHeight="false" outlineLevel="0" collapsed="false">
      <c r="A106" s="32"/>
      <c r="B106" s="29"/>
      <c r="C106" s="29"/>
      <c r="D106" s="25"/>
      <c r="E106" s="25"/>
      <c r="F106" s="25"/>
      <c r="G106" s="18" t="str">
        <f aca="false">IF(AND(D106="",F106=""),"",N(D106)-N(F106))</f>
        <v/>
      </c>
      <c r="H106" s="33"/>
      <c r="I106" s="34"/>
    </row>
    <row r="107" customFormat="false" ht="15" hidden="false" customHeight="false" outlineLevel="0" collapsed="false">
      <c r="A107" s="32"/>
      <c r="B107" s="29"/>
      <c r="C107" s="29"/>
      <c r="D107" s="25"/>
      <c r="E107" s="25"/>
      <c r="F107" s="25"/>
      <c r="G107" s="18" t="str">
        <f aca="false">IF(AND(D107="",F107=""),"",N(D107)-N(F107))</f>
        <v/>
      </c>
      <c r="H107" s="33"/>
      <c r="I107" s="34"/>
    </row>
    <row r="108" customFormat="false" ht="15" hidden="false" customHeight="false" outlineLevel="0" collapsed="false">
      <c r="A108" s="32"/>
      <c r="B108" s="29"/>
      <c r="C108" s="29"/>
      <c r="D108" s="25"/>
      <c r="E108" s="25"/>
      <c r="F108" s="25"/>
      <c r="G108" s="18" t="str">
        <f aca="false">IF(AND(D108="",F108=""),"",N(D108)-N(F108))</f>
        <v/>
      </c>
      <c r="H108" s="33"/>
      <c r="I108" s="34"/>
    </row>
    <row r="109" customFormat="false" ht="15" hidden="false" customHeight="false" outlineLevel="0" collapsed="false">
      <c r="A109" s="32"/>
      <c r="B109" s="29"/>
      <c r="C109" s="29"/>
      <c r="D109" s="25"/>
      <c r="E109" s="25"/>
      <c r="F109" s="25"/>
      <c r="G109" s="18" t="str">
        <f aca="false">IF(AND(D109="",F109=""),"",N(D109)-N(F109))</f>
        <v/>
      </c>
      <c r="H109" s="33"/>
      <c r="I109" s="34"/>
    </row>
    <row r="110" customFormat="false" ht="15" hidden="false" customHeight="false" outlineLevel="0" collapsed="false">
      <c r="A110" s="32"/>
      <c r="B110" s="29"/>
      <c r="C110" s="29"/>
      <c r="D110" s="25"/>
      <c r="E110" s="25"/>
      <c r="F110" s="25"/>
      <c r="G110" s="18" t="str">
        <f aca="false">IF(AND(D110="",F110=""),"",N(D110)-N(F110))</f>
        <v/>
      </c>
      <c r="H110" s="33"/>
      <c r="I110" s="34"/>
    </row>
    <row r="111" customFormat="false" ht="15" hidden="false" customHeight="false" outlineLevel="0" collapsed="false">
      <c r="A111" s="32"/>
      <c r="B111" s="29"/>
      <c r="C111" s="29"/>
      <c r="D111" s="25"/>
      <c r="E111" s="25"/>
      <c r="F111" s="25"/>
      <c r="G111" s="18" t="str">
        <f aca="false">IF(AND(D111="",F111=""),"",N(D111)-N(F111))</f>
        <v/>
      </c>
      <c r="H111" s="33"/>
      <c r="I111" s="34"/>
    </row>
    <row r="112" customFormat="false" ht="15" hidden="false" customHeight="false" outlineLevel="0" collapsed="false">
      <c r="A112" s="32"/>
      <c r="B112" s="29"/>
      <c r="C112" s="29"/>
      <c r="D112" s="25"/>
      <c r="E112" s="25"/>
      <c r="F112" s="25"/>
      <c r="G112" s="18" t="str">
        <f aca="false">IF(AND(D112="",F112=""),"",N(D112)-N(F112))</f>
        <v/>
      </c>
      <c r="H112" s="33"/>
      <c r="I112" s="34"/>
    </row>
    <row r="113" customFormat="false" ht="15" hidden="false" customHeight="false" outlineLevel="0" collapsed="false">
      <c r="A113" s="32"/>
      <c r="B113" s="29"/>
      <c r="C113" s="29"/>
      <c r="D113" s="25"/>
      <c r="E113" s="25"/>
      <c r="F113" s="25"/>
      <c r="G113" s="18" t="str">
        <f aca="false">IF(AND(D113="",F113=""),"",N(D113)-N(F113))</f>
        <v/>
      </c>
      <c r="H113" s="33"/>
      <c r="I113" s="34"/>
    </row>
    <row r="114" customFormat="false" ht="15" hidden="false" customHeight="false" outlineLevel="0" collapsed="false">
      <c r="A114" s="32"/>
      <c r="B114" s="29"/>
      <c r="C114" s="29"/>
      <c r="D114" s="25"/>
      <c r="E114" s="25"/>
      <c r="F114" s="25"/>
      <c r="G114" s="18" t="str">
        <f aca="false">IF(AND(D114="",F114=""),"",N(D114)-N(F114))</f>
        <v/>
      </c>
      <c r="H114" s="33"/>
      <c r="I114" s="34"/>
    </row>
    <row r="115" customFormat="false" ht="15" hidden="false" customHeight="false" outlineLevel="0" collapsed="false">
      <c r="A115" s="32"/>
      <c r="B115" s="29"/>
      <c r="C115" s="29"/>
      <c r="D115" s="25"/>
      <c r="E115" s="25"/>
      <c r="F115" s="25"/>
      <c r="G115" s="18" t="str">
        <f aca="false">IF(AND(D115="",F115=""),"",N(D115)-N(F115))</f>
        <v/>
      </c>
      <c r="H115" s="33"/>
      <c r="I115" s="34"/>
    </row>
    <row r="116" customFormat="false" ht="15" hidden="false" customHeight="false" outlineLevel="0" collapsed="false">
      <c r="A116" s="32"/>
      <c r="B116" s="29"/>
      <c r="C116" s="29"/>
      <c r="D116" s="25"/>
      <c r="E116" s="25"/>
      <c r="F116" s="25"/>
      <c r="G116" s="18" t="str">
        <f aca="false">IF(AND(D116="",F116=""),"",N(D116)-N(F116))</f>
        <v/>
      </c>
      <c r="H116" s="33"/>
      <c r="I116" s="34"/>
    </row>
    <row r="117" customFormat="false" ht="15" hidden="false" customHeight="false" outlineLevel="0" collapsed="false">
      <c r="A117" s="32"/>
      <c r="B117" s="29"/>
      <c r="C117" s="29"/>
      <c r="D117" s="25"/>
      <c r="E117" s="25"/>
      <c r="F117" s="25"/>
      <c r="G117" s="18" t="str">
        <f aca="false">IF(AND(D117="",F117=""),"",N(D117)-N(F117))</f>
        <v/>
      </c>
      <c r="H117" s="33"/>
      <c r="I117" s="34"/>
    </row>
    <row r="118" customFormat="false" ht="15" hidden="false" customHeight="false" outlineLevel="0" collapsed="false">
      <c r="A118" s="32"/>
      <c r="B118" s="29"/>
      <c r="C118" s="29"/>
      <c r="D118" s="25"/>
      <c r="E118" s="25"/>
      <c r="F118" s="25"/>
      <c r="G118" s="18" t="str">
        <f aca="false">IF(AND(D118="",F118=""),"",N(D118)-N(F118))</f>
        <v/>
      </c>
      <c r="H118" s="33"/>
      <c r="I118" s="34"/>
    </row>
    <row r="119" customFormat="false" ht="15" hidden="false" customHeight="false" outlineLevel="0" collapsed="false">
      <c r="A119" s="32"/>
      <c r="B119" s="29"/>
      <c r="C119" s="29"/>
      <c r="D119" s="25"/>
      <c r="E119" s="25"/>
      <c r="F119" s="25"/>
      <c r="G119" s="18" t="str">
        <f aca="false">IF(AND(D119="",F119=""),"",N(D119)-N(F119))</f>
        <v/>
      </c>
      <c r="H119" s="33"/>
      <c r="I119" s="34"/>
    </row>
    <row r="120" customFormat="false" ht="15" hidden="false" customHeight="false" outlineLevel="0" collapsed="false">
      <c r="A120" s="32"/>
      <c r="B120" s="29"/>
      <c r="C120" s="29"/>
      <c r="D120" s="25"/>
      <c r="E120" s="25"/>
      <c r="F120" s="25"/>
      <c r="G120" s="18" t="str">
        <f aca="false">IF(AND(D120="",F120=""),"",N(D120)-N(F120))</f>
        <v/>
      </c>
      <c r="H120" s="33"/>
      <c r="I120" s="34"/>
    </row>
    <row r="121" customFormat="false" ht="15" hidden="false" customHeight="false" outlineLevel="0" collapsed="false">
      <c r="A121" s="32"/>
      <c r="B121" s="29"/>
      <c r="C121" s="29"/>
      <c r="D121" s="25"/>
      <c r="E121" s="25"/>
      <c r="F121" s="25"/>
      <c r="G121" s="18" t="str">
        <f aca="false">IF(AND(D121="",F121=""),"",N(D121)-N(F121))</f>
        <v/>
      </c>
      <c r="H121" s="33"/>
      <c r="I121" s="34"/>
    </row>
    <row r="122" customFormat="false" ht="15" hidden="false" customHeight="false" outlineLevel="0" collapsed="false">
      <c r="A122" s="32"/>
      <c r="B122" s="29"/>
      <c r="C122" s="29"/>
      <c r="D122" s="25"/>
      <c r="E122" s="25"/>
      <c r="F122" s="25"/>
      <c r="G122" s="18" t="str">
        <f aca="false">IF(AND(D122="",F122=""),"",N(D122)-N(F122))</f>
        <v/>
      </c>
      <c r="H122" s="33"/>
      <c r="I122" s="34"/>
    </row>
    <row r="123" customFormat="false" ht="15" hidden="false" customHeight="false" outlineLevel="0" collapsed="false">
      <c r="A123" s="32"/>
      <c r="B123" s="29"/>
      <c r="C123" s="29"/>
      <c r="D123" s="25"/>
      <c r="E123" s="25"/>
      <c r="F123" s="25"/>
      <c r="G123" s="18" t="str">
        <f aca="false">IF(AND(D123="",F123=""),"",N(D123)-N(F123))</f>
        <v/>
      </c>
      <c r="H123" s="33"/>
      <c r="I123" s="34"/>
    </row>
    <row r="124" customFormat="false" ht="15" hidden="false" customHeight="false" outlineLevel="0" collapsed="false">
      <c r="A124" s="32"/>
      <c r="B124" s="29"/>
      <c r="C124" s="29"/>
      <c r="D124" s="25"/>
      <c r="E124" s="25"/>
      <c r="F124" s="25"/>
      <c r="G124" s="18" t="str">
        <f aca="false">IF(AND(D124="",F124=""),"",N(D124)-N(F124))</f>
        <v/>
      </c>
      <c r="H124" s="33"/>
      <c r="I124" s="34"/>
    </row>
    <row r="125" customFormat="false" ht="15" hidden="false" customHeight="false" outlineLevel="0" collapsed="false">
      <c r="A125" s="32"/>
      <c r="B125" s="29"/>
      <c r="C125" s="29"/>
      <c r="D125" s="25"/>
      <c r="E125" s="25"/>
      <c r="F125" s="25"/>
      <c r="G125" s="18" t="str">
        <f aca="false">IF(AND(D125="",F125=""),"",N(D125)-N(F125))</f>
        <v/>
      </c>
      <c r="H125" s="33"/>
      <c r="I125" s="34"/>
    </row>
    <row r="126" customFormat="false" ht="15" hidden="false" customHeight="false" outlineLevel="0" collapsed="false">
      <c r="A126" s="32"/>
      <c r="B126" s="29"/>
      <c r="C126" s="29"/>
      <c r="D126" s="25"/>
      <c r="E126" s="25"/>
      <c r="F126" s="25"/>
      <c r="G126" s="18" t="str">
        <f aca="false">IF(AND(D126="",F126=""),"",N(D126)-N(F126))</f>
        <v/>
      </c>
      <c r="H126" s="33"/>
      <c r="I126" s="34"/>
    </row>
    <row r="127" customFormat="false" ht="15" hidden="false" customHeight="false" outlineLevel="0" collapsed="false">
      <c r="A127" s="32"/>
      <c r="B127" s="29"/>
      <c r="C127" s="29"/>
      <c r="D127" s="25"/>
      <c r="E127" s="25"/>
      <c r="F127" s="25"/>
      <c r="G127" s="18" t="str">
        <f aca="false">IF(AND(D127="",F127=""),"",N(D127)-N(F127))</f>
        <v/>
      </c>
      <c r="H127" s="33"/>
      <c r="I127" s="34"/>
    </row>
    <row r="128" customFormat="false" ht="15" hidden="false" customHeight="false" outlineLevel="0" collapsed="false">
      <c r="A128" s="32"/>
      <c r="B128" s="29"/>
      <c r="C128" s="29"/>
      <c r="D128" s="25"/>
      <c r="E128" s="25"/>
      <c r="F128" s="25"/>
      <c r="G128" s="18" t="str">
        <f aca="false">IF(AND(D128="",F128=""),"",N(D128)-N(F128))</f>
        <v/>
      </c>
      <c r="H128" s="33"/>
      <c r="I128" s="34"/>
    </row>
    <row r="129" customFormat="false" ht="15" hidden="false" customHeight="false" outlineLevel="0" collapsed="false">
      <c r="A129" s="32"/>
      <c r="B129" s="29"/>
      <c r="C129" s="29"/>
      <c r="D129" s="25"/>
      <c r="E129" s="25"/>
      <c r="F129" s="25"/>
      <c r="G129" s="18" t="str">
        <f aca="false">IF(AND(D129="",F129=""),"",N(D129)-N(F129))</f>
        <v/>
      </c>
      <c r="H129" s="33"/>
      <c r="I129" s="34"/>
    </row>
    <row r="130" customFormat="false" ht="15" hidden="false" customHeight="false" outlineLevel="0" collapsed="false">
      <c r="A130" s="32"/>
      <c r="B130" s="29"/>
      <c r="C130" s="29"/>
      <c r="D130" s="25"/>
      <c r="E130" s="25"/>
      <c r="F130" s="25"/>
      <c r="G130" s="18" t="str">
        <f aca="false">IF(AND(D130="",F130=""),"",N(D130)-N(F130))</f>
        <v/>
      </c>
      <c r="H130" s="33"/>
      <c r="I130" s="34"/>
    </row>
    <row r="131" customFormat="false" ht="15" hidden="false" customHeight="false" outlineLevel="0" collapsed="false">
      <c r="A131" s="32"/>
      <c r="B131" s="29"/>
      <c r="C131" s="29"/>
      <c r="D131" s="25"/>
      <c r="E131" s="25"/>
      <c r="F131" s="25"/>
      <c r="G131" s="18" t="str">
        <f aca="false">IF(AND(D131="",F131=""),"",N(D131)-N(F131))</f>
        <v/>
      </c>
      <c r="H131" s="33"/>
      <c r="I131" s="34"/>
    </row>
    <row r="132" customFormat="false" ht="15" hidden="false" customHeight="false" outlineLevel="0" collapsed="false">
      <c r="A132" s="32"/>
      <c r="B132" s="29"/>
      <c r="C132" s="29"/>
      <c r="D132" s="25"/>
      <c r="E132" s="25"/>
      <c r="F132" s="25"/>
      <c r="G132" s="18" t="str">
        <f aca="false">IF(AND(D132="",F132=""),"",N(D132)-N(F132))</f>
        <v/>
      </c>
      <c r="H132" s="33"/>
      <c r="I132" s="34"/>
    </row>
    <row r="133" customFormat="false" ht="15" hidden="false" customHeight="false" outlineLevel="0" collapsed="false">
      <c r="A133" s="32"/>
      <c r="B133" s="29"/>
      <c r="C133" s="29"/>
      <c r="D133" s="25"/>
      <c r="E133" s="25"/>
      <c r="F133" s="25"/>
      <c r="G133" s="18" t="str">
        <f aca="false">IF(AND(D133="",F133=""),"",N(D133)-N(F133))</f>
        <v/>
      </c>
      <c r="H133" s="33"/>
      <c r="I133" s="34"/>
    </row>
    <row r="134" customFormat="false" ht="15" hidden="false" customHeight="false" outlineLevel="0" collapsed="false">
      <c r="A134" s="32"/>
      <c r="B134" s="29"/>
      <c r="C134" s="29"/>
      <c r="D134" s="25"/>
      <c r="E134" s="25"/>
      <c r="F134" s="25"/>
      <c r="G134" s="18" t="str">
        <f aca="false">IF(AND(D134="",F134=""),"",N(D134)-N(F134))</f>
        <v/>
      </c>
      <c r="H134" s="33"/>
      <c r="I134" s="34"/>
    </row>
    <row r="135" customFormat="false" ht="15" hidden="false" customHeight="false" outlineLevel="0" collapsed="false">
      <c r="A135" s="32"/>
      <c r="B135" s="29"/>
      <c r="C135" s="29"/>
      <c r="D135" s="25"/>
      <c r="E135" s="25"/>
      <c r="F135" s="25"/>
      <c r="G135" s="18" t="str">
        <f aca="false">IF(AND(D135="",F135=""),"",N(D135)-N(F135))</f>
        <v/>
      </c>
      <c r="H135" s="33"/>
      <c r="I135" s="34"/>
    </row>
    <row r="136" customFormat="false" ht="15" hidden="false" customHeight="false" outlineLevel="0" collapsed="false">
      <c r="A136" s="32"/>
      <c r="B136" s="29"/>
      <c r="C136" s="29"/>
      <c r="D136" s="25"/>
      <c r="E136" s="25"/>
      <c r="F136" s="25"/>
      <c r="G136" s="18" t="str">
        <f aca="false">IF(AND(D136="",F136=""),"",N(D136)-N(F136))</f>
        <v/>
      </c>
      <c r="H136" s="33"/>
      <c r="I136" s="34"/>
    </row>
    <row r="137" customFormat="false" ht="15" hidden="false" customHeight="false" outlineLevel="0" collapsed="false">
      <c r="A137" s="32"/>
      <c r="B137" s="29"/>
      <c r="C137" s="29"/>
      <c r="D137" s="25"/>
      <c r="E137" s="25"/>
      <c r="F137" s="25"/>
      <c r="G137" s="18" t="str">
        <f aca="false">IF(AND(D137="",F137=""),"",N(D137)-N(F137))</f>
        <v/>
      </c>
      <c r="H137" s="33"/>
      <c r="I137" s="34"/>
    </row>
    <row r="138" customFormat="false" ht="15" hidden="false" customHeight="false" outlineLevel="0" collapsed="false">
      <c r="A138" s="32"/>
      <c r="B138" s="29"/>
      <c r="C138" s="29"/>
      <c r="D138" s="25"/>
      <c r="E138" s="25"/>
      <c r="F138" s="25"/>
      <c r="G138" s="18" t="str">
        <f aca="false">IF(AND(D138="",F138=""),"",N(D138)-N(F138))</f>
        <v/>
      </c>
      <c r="H138" s="33"/>
      <c r="I138" s="34"/>
    </row>
    <row r="139" customFormat="false" ht="15" hidden="false" customHeight="false" outlineLevel="0" collapsed="false">
      <c r="A139" s="32"/>
      <c r="B139" s="29"/>
      <c r="C139" s="29"/>
      <c r="D139" s="25"/>
      <c r="E139" s="25"/>
      <c r="F139" s="25"/>
      <c r="G139" s="18" t="str">
        <f aca="false">IF(AND(D139="",F139=""),"",N(D139)-N(F139))</f>
        <v/>
      </c>
      <c r="H139" s="33"/>
      <c r="I139" s="34"/>
    </row>
    <row r="140" customFormat="false" ht="15" hidden="false" customHeight="false" outlineLevel="0" collapsed="false">
      <c r="A140" s="32"/>
      <c r="B140" s="29"/>
      <c r="C140" s="29"/>
      <c r="D140" s="25"/>
      <c r="E140" s="25"/>
      <c r="F140" s="25"/>
      <c r="G140" s="18" t="str">
        <f aca="false">IF(AND(D140="",F140=""),"",N(D140)-N(F140))</f>
        <v/>
      </c>
      <c r="H140" s="33"/>
      <c r="I140" s="34"/>
    </row>
    <row r="141" customFormat="false" ht="15" hidden="false" customHeight="false" outlineLevel="0" collapsed="false">
      <c r="A141" s="32"/>
      <c r="B141" s="29"/>
      <c r="C141" s="29"/>
      <c r="D141" s="25"/>
      <c r="E141" s="25"/>
      <c r="F141" s="25"/>
      <c r="G141" s="18" t="str">
        <f aca="false">IF(AND(D141="",F141=""),"",N(D141)-N(F141))</f>
        <v/>
      </c>
      <c r="H141" s="33"/>
      <c r="I141" s="34"/>
    </row>
    <row r="142" customFormat="false" ht="15" hidden="false" customHeight="false" outlineLevel="0" collapsed="false">
      <c r="A142" s="32"/>
      <c r="B142" s="29"/>
      <c r="C142" s="29"/>
      <c r="D142" s="25"/>
      <c r="E142" s="25"/>
      <c r="F142" s="25"/>
      <c r="G142" s="18" t="str">
        <f aca="false">IF(AND(D142="",F142=""),"",N(D142)-N(F142))</f>
        <v/>
      </c>
      <c r="H142" s="33"/>
      <c r="I142" s="34"/>
    </row>
    <row r="143" customFormat="false" ht="15" hidden="false" customHeight="false" outlineLevel="0" collapsed="false">
      <c r="A143" s="32"/>
      <c r="B143" s="29"/>
      <c r="C143" s="29"/>
      <c r="D143" s="25"/>
      <c r="E143" s="25"/>
      <c r="F143" s="25"/>
      <c r="G143" s="18" t="str">
        <f aca="false">IF(AND(D143="",F143=""),"",N(D143)-N(F143))</f>
        <v/>
      </c>
      <c r="H143" s="33"/>
      <c r="I143" s="34"/>
    </row>
    <row r="144" customFormat="false" ht="15" hidden="false" customHeight="false" outlineLevel="0" collapsed="false">
      <c r="A144" s="32"/>
      <c r="B144" s="29"/>
      <c r="C144" s="29"/>
      <c r="D144" s="25"/>
      <c r="E144" s="25"/>
      <c r="F144" s="25"/>
      <c r="G144" s="18" t="str">
        <f aca="false">IF(AND(D144="",F144=""),"",N(D144)-N(F144))</f>
        <v/>
      </c>
      <c r="H144" s="33"/>
      <c r="I144" s="34"/>
    </row>
    <row r="145" customFormat="false" ht="15" hidden="false" customHeight="false" outlineLevel="0" collapsed="false">
      <c r="A145" s="32"/>
      <c r="B145" s="29"/>
      <c r="C145" s="29"/>
      <c r="D145" s="25"/>
      <c r="E145" s="25"/>
      <c r="F145" s="25"/>
      <c r="G145" s="18" t="str">
        <f aca="false">IF(AND(D145="",F145=""),"",N(D145)-N(F145))</f>
        <v/>
      </c>
      <c r="H145" s="33"/>
      <c r="I145" s="34"/>
    </row>
    <row r="146" customFormat="false" ht="15" hidden="false" customHeight="false" outlineLevel="0" collapsed="false">
      <c r="A146" s="32"/>
      <c r="B146" s="29"/>
      <c r="C146" s="29"/>
      <c r="D146" s="25"/>
      <c r="E146" s="25"/>
      <c r="F146" s="25"/>
      <c r="G146" s="18" t="str">
        <f aca="false">IF(AND(D146="",F146=""),"",N(D146)-N(F146))</f>
        <v/>
      </c>
      <c r="H146" s="33"/>
      <c r="I146" s="34"/>
    </row>
    <row r="147" customFormat="false" ht="15" hidden="false" customHeight="false" outlineLevel="0" collapsed="false">
      <c r="A147" s="32"/>
      <c r="B147" s="29"/>
      <c r="C147" s="29"/>
      <c r="D147" s="25"/>
      <c r="E147" s="25"/>
      <c r="F147" s="25"/>
      <c r="G147" s="18" t="str">
        <f aca="false">IF(AND(D147="",F147=""),"",N(D147)-N(F147))</f>
        <v/>
      </c>
      <c r="H147" s="33"/>
      <c r="I147" s="34"/>
    </row>
    <row r="148" customFormat="false" ht="15" hidden="false" customHeight="false" outlineLevel="0" collapsed="false">
      <c r="A148" s="32"/>
      <c r="B148" s="29"/>
      <c r="C148" s="29"/>
      <c r="D148" s="25"/>
      <c r="E148" s="25"/>
      <c r="F148" s="25"/>
      <c r="G148" s="18" t="str">
        <f aca="false">IF(AND(D148="",F148=""),"",N(D148)-N(F148))</f>
        <v/>
      </c>
      <c r="H148" s="33"/>
      <c r="I148" s="34"/>
    </row>
    <row r="149" customFormat="false" ht="15" hidden="false" customHeight="false" outlineLevel="0" collapsed="false">
      <c r="A149" s="32"/>
      <c r="B149" s="29"/>
      <c r="C149" s="29"/>
      <c r="D149" s="25"/>
      <c r="E149" s="25"/>
      <c r="F149" s="25"/>
      <c r="G149" s="18" t="str">
        <f aca="false">IF(AND(D149="",F149=""),"",N(D149)-N(F149))</f>
        <v/>
      </c>
      <c r="H149" s="33"/>
      <c r="I149" s="34"/>
    </row>
    <row r="150" customFormat="false" ht="15" hidden="false" customHeight="false" outlineLevel="0" collapsed="false">
      <c r="A150" s="32"/>
      <c r="B150" s="29"/>
      <c r="C150" s="29"/>
      <c r="D150" s="25"/>
      <c r="E150" s="25"/>
      <c r="F150" s="25"/>
      <c r="G150" s="18" t="str">
        <f aca="false">IF(AND(D150="",F150=""),"",N(D150)-N(F150))</f>
        <v/>
      </c>
      <c r="H150" s="33"/>
      <c r="I150" s="34"/>
    </row>
    <row r="151" customFormat="false" ht="15" hidden="false" customHeight="false" outlineLevel="0" collapsed="false">
      <c r="A151" s="32"/>
      <c r="B151" s="29"/>
      <c r="C151" s="29"/>
      <c r="D151" s="25"/>
      <c r="E151" s="25"/>
      <c r="F151" s="25"/>
      <c r="G151" s="18" t="str">
        <f aca="false">IF(AND(D151="",F151=""),"",N(D151)-N(F151))</f>
        <v/>
      </c>
      <c r="H151" s="33"/>
      <c r="I151" s="34"/>
    </row>
    <row r="152" customFormat="false" ht="15" hidden="false" customHeight="false" outlineLevel="0" collapsed="false">
      <c r="A152" s="32"/>
      <c r="B152" s="29"/>
      <c r="C152" s="29"/>
      <c r="D152" s="25"/>
      <c r="E152" s="25"/>
      <c r="F152" s="25"/>
      <c r="G152" s="18" t="str">
        <f aca="false">IF(AND(D152="",F152=""),"",N(D152)-N(F152))</f>
        <v/>
      </c>
      <c r="H152" s="33"/>
      <c r="I152" s="34"/>
    </row>
    <row r="153" customFormat="false" ht="15" hidden="false" customHeight="false" outlineLevel="0" collapsed="false">
      <c r="A153" s="32"/>
      <c r="B153" s="29"/>
      <c r="C153" s="29"/>
      <c r="D153" s="25"/>
      <c r="E153" s="25"/>
      <c r="F153" s="25"/>
      <c r="G153" s="18" t="str">
        <f aca="false">IF(AND(D153="",F153=""),"",N(D153)-N(F153))</f>
        <v/>
      </c>
      <c r="H153" s="33"/>
      <c r="I153" s="34"/>
    </row>
    <row r="154" customFormat="false" ht="15" hidden="false" customHeight="false" outlineLevel="0" collapsed="false">
      <c r="A154" s="32"/>
      <c r="B154" s="29"/>
      <c r="C154" s="29"/>
      <c r="D154" s="25"/>
      <c r="E154" s="25"/>
      <c r="F154" s="25"/>
      <c r="G154" s="18" t="str">
        <f aca="false">IF(AND(D154="",F154=""),"",N(D154)-N(F154))</f>
        <v/>
      </c>
      <c r="H154" s="33"/>
      <c r="I154" s="34"/>
    </row>
    <row r="155" customFormat="false" ht="15" hidden="false" customHeight="false" outlineLevel="0" collapsed="false">
      <c r="A155" s="32"/>
      <c r="B155" s="29"/>
      <c r="C155" s="29"/>
      <c r="D155" s="25"/>
      <c r="E155" s="25"/>
      <c r="F155" s="25"/>
      <c r="G155" s="18" t="str">
        <f aca="false">IF(AND(D155="",F155=""),"",N(D155)-N(F155))</f>
        <v/>
      </c>
      <c r="H155" s="33"/>
      <c r="I155" s="34"/>
    </row>
    <row r="156" customFormat="false" ht="15" hidden="false" customHeight="false" outlineLevel="0" collapsed="false">
      <c r="A156" s="32"/>
      <c r="B156" s="29"/>
      <c r="C156" s="29"/>
      <c r="D156" s="25"/>
      <c r="E156" s="25"/>
      <c r="F156" s="25"/>
      <c r="G156" s="18" t="str">
        <f aca="false">IF(AND(D156="",F156=""),"",N(D156)-N(F156))</f>
        <v/>
      </c>
      <c r="H156" s="33"/>
      <c r="I156" s="34"/>
    </row>
    <row r="157" customFormat="false" ht="15" hidden="false" customHeight="false" outlineLevel="0" collapsed="false">
      <c r="A157" s="32"/>
      <c r="B157" s="29"/>
      <c r="C157" s="29"/>
      <c r="D157" s="25"/>
      <c r="E157" s="25"/>
      <c r="F157" s="25"/>
      <c r="G157" s="18" t="str">
        <f aca="false">IF(AND(D157="",F157=""),"",N(D157)-N(F157))</f>
        <v/>
      </c>
      <c r="H157" s="33"/>
      <c r="I157" s="34"/>
    </row>
    <row r="158" customFormat="false" ht="15" hidden="false" customHeight="false" outlineLevel="0" collapsed="false">
      <c r="A158" s="32"/>
      <c r="B158" s="29"/>
      <c r="C158" s="29"/>
      <c r="D158" s="25"/>
      <c r="E158" s="25"/>
      <c r="F158" s="25"/>
      <c r="G158" s="18" t="str">
        <f aca="false">IF(AND(D158="",F158=""),"",N(D158)-N(F158))</f>
        <v/>
      </c>
      <c r="H158" s="33"/>
      <c r="I158" s="34"/>
    </row>
    <row r="159" customFormat="false" ht="15" hidden="false" customHeight="false" outlineLevel="0" collapsed="false">
      <c r="A159" s="32"/>
      <c r="B159" s="29"/>
      <c r="C159" s="29"/>
      <c r="D159" s="25"/>
      <c r="E159" s="25"/>
      <c r="F159" s="25"/>
      <c r="G159" s="18" t="str">
        <f aca="false">IF(AND(D159="",F159=""),"",N(D159)-N(F159))</f>
        <v/>
      </c>
      <c r="H159" s="33"/>
      <c r="I159" s="34"/>
    </row>
    <row r="160" customFormat="false" ht="15" hidden="false" customHeight="false" outlineLevel="0" collapsed="false">
      <c r="A160" s="32"/>
      <c r="B160" s="29"/>
      <c r="C160" s="29"/>
      <c r="D160" s="25"/>
      <c r="E160" s="25"/>
      <c r="F160" s="25"/>
      <c r="G160" s="18" t="str">
        <f aca="false">IF(AND(D160="",F160=""),"",N(D160)-N(F160))</f>
        <v/>
      </c>
      <c r="H160" s="33"/>
      <c r="I160" s="34"/>
    </row>
    <row r="161" customFormat="false" ht="15" hidden="false" customHeight="false" outlineLevel="0" collapsed="false">
      <c r="A161" s="32"/>
      <c r="B161" s="29"/>
      <c r="C161" s="29"/>
      <c r="D161" s="25"/>
      <c r="E161" s="25"/>
      <c r="F161" s="25"/>
      <c r="G161" s="18" t="str">
        <f aca="false">IF(AND(D161="",F161=""),"",N(D161)-N(F161))</f>
        <v/>
      </c>
      <c r="H161" s="33"/>
      <c r="I161" s="34"/>
    </row>
    <row r="162" customFormat="false" ht="15" hidden="false" customHeight="false" outlineLevel="0" collapsed="false">
      <c r="A162" s="32"/>
      <c r="B162" s="29"/>
      <c r="C162" s="29"/>
      <c r="D162" s="25"/>
      <c r="E162" s="25"/>
      <c r="F162" s="25"/>
      <c r="G162" s="18" t="str">
        <f aca="false">IF(AND(D162="",F162=""),"",N(D162)-N(F162))</f>
        <v/>
      </c>
      <c r="H162" s="33"/>
      <c r="I162" s="34"/>
    </row>
    <row r="163" customFormat="false" ht="15" hidden="false" customHeight="false" outlineLevel="0" collapsed="false">
      <c r="A163" s="32"/>
      <c r="B163" s="29"/>
      <c r="C163" s="29"/>
      <c r="D163" s="25"/>
      <c r="E163" s="25"/>
      <c r="F163" s="25"/>
      <c r="G163" s="18" t="str">
        <f aca="false">IF(AND(D163="",F163=""),"",N(D163)-N(F163))</f>
        <v/>
      </c>
      <c r="H163" s="33"/>
      <c r="I163" s="34"/>
    </row>
    <row r="164" customFormat="false" ht="15" hidden="false" customHeight="false" outlineLevel="0" collapsed="false">
      <c r="A164" s="32"/>
      <c r="B164" s="29"/>
      <c r="C164" s="29"/>
      <c r="D164" s="25"/>
      <c r="E164" s="25"/>
      <c r="F164" s="25"/>
      <c r="G164" s="18" t="str">
        <f aca="false">IF(AND(D164="",F164=""),"",N(D164)-N(F164))</f>
        <v/>
      </c>
      <c r="H164" s="33"/>
      <c r="I164" s="34"/>
    </row>
    <row r="165" customFormat="false" ht="15" hidden="false" customHeight="false" outlineLevel="0" collapsed="false">
      <c r="A165" s="32"/>
      <c r="B165" s="29"/>
      <c r="C165" s="29"/>
      <c r="D165" s="25"/>
      <c r="E165" s="25"/>
      <c r="F165" s="25"/>
      <c r="G165" s="18" t="str">
        <f aca="false">IF(AND(D165="",F165=""),"",N(D165)-N(F165))</f>
        <v/>
      </c>
      <c r="H165" s="33"/>
      <c r="I165" s="34"/>
    </row>
    <row r="166" customFormat="false" ht="15" hidden="false" customHeight="false" outlineLevel="0" collapsed="false">
      <c r="A166" s="32"/>
      <c r="B166" s="29"/>
      <c r="C166" s="29"/>
      <c r="D166" s="25"/>
      <c r="E166" s="25"/>
      <c r="F166" s="25"/>
      <c r="G166" s="18" t="str">
        <f aca="false">IF(AND(D166="",F166=""),"",N(D166)-N(F166))</f>
        <v/>
      </c>
      <c r="H166" s="33"/>
      <c r="I166" s="34"/>
    </row>
    <row r="167" customFormat="false" ht="15" hidden="false" customHeight="false" outlineLevel="0" collapsed="false">
      <c r="A167" s="32"/>
      <c r="B167" s="29"/>
      <c r="C167" s="29"/>
      <c r="D167" s="25"/>
      <c r="E167" s="25"/>
      <c r="F167" s="25"/>
      <c r="G167" s="18" t="str">
        <f aca="false">IF(AND(D167="",F167=""),"",N(D167)-N(F167))</f>
        <v/>
      </c>
      <c r="H167" s="33"/>
      <c r="I167" s="34"/>
    </row>
    <row r="168" customFormat="false" ht="15" hidden="false" customHeight="false" outlineLevel="0" collapsed="false">
      <c r="A168" s="32"/>
      <c r="B168" s="29"/>
      <c r="C168" s="29"/>
      <c r="D168" s="25"/>
      <c r="E168" s="25"/>
      <c r="F168" s="25"/>
      <c r="G168" s="18" t="str">
        <f aca="false">IF(AND(D168="",F168=""),"",N(D168)-N(F168))</f>
        <v/>
      </c>
      <c r="H168" s="33"/>
      <c r="I168" s="34"/>
    </row>
    <row r="169" customFormat="false" ht="15" hidden="false" customHeight="false" outlineLevel="0" collapsed="false">
      <c r="A169" s="32"/>
      <c r="B169" s="29"/>
      <c r="C169" s="29"/>
      <c r="D169" s="25"/>
      <c r="E169" s="25"/>
      <c r="F169" s="25"/>
      <c r="G169" s="18" t="str">
        <f aca="false">IF(AND(D169="",F169=""),"",N(D169)-N(F169))</f>
        <v/>
      </c>
      <c r="H169" s="33"/>
      <c r="I169" s="34"/>
    </row>
    <row r="170" customFormat="false" ht="15" hidden="false" customHeight="false" outlineLevel="0" collapsed="false">
      <c r="A170" s="32"/>
      <c r="B170" s="29"/>
      <c r="C170" s="29"/>
      <c r="D170" s="25"/>
      <c r="E170" s="25"/>
      <c r="F170" s="25"/>
      <c r="G170" s="18" t="str">
        <f aca="false">IF(AND(D170="",F170=""),"",N(D170)-N(F170))</f>
        <v/>
      </c>
      <c r="H170" s="33"/>
      <c r="I170" s="34"/>
    </row>
    <row r="171" customFormat="false" ht="15" hidden="false" customHeight="false" outlineLevel="0" collapsed="false">
      <c r="A171" s="32"/>
      <c r="B171" s="29"/>
      <c r="C171" s="29"/>
      <c r="D171" s="25"/>
      <c r="E171" s="25"/>
      <c r="F171" s="25"/>
      <c r="G171" s="18" t="str">
        <f aca="false">IF(AND(D171="",F171=""),"",N(D171)-N(F171))</f>
        <v/>
      </c>
      <c r="H171" s="33"/>
      <c r="I171" s="34"/>
    </row>
    <row r="172" customFormat="false" ht="15" hidden="false" customHeight="false" outlineLevel="0" collapsed="false">
      <c r="A172" s="32"/>
      <c r="B172" s="29"/>
      <c r="C172" s="29"/>
      <c r="D172" s="25"/>
      <c r="E172" s="25"/>
      <c r="F172" s="25"/>
      <c r="G172" s="18" t="str">
        <f aca="false">IF(AND(D172="",F172=""),"",N(D172)-N(F172))</f>
        <v/>
      </c>
      <c r="H172" s="33"/>
      <c r="I172" s="34"/>
    </row>
    <row r="173" customFormat="false" ht="15" hidden="false" customHeight="false" outlineLevel="0" collapsed="false">
      <c r="A173" s="32"/>
      <c r="B173" s="29"/>
      <c r="C173" s="29"/>
      <c r="D173" s="25"/>
      <c r="E173" s="25"/>
      <c r="F173" s="25"/>
      <c r="G173" s="18" t="str">
        <f aca="false">IF(AND(D173="",F173=""),"",N(D173)-N(F173))</f>
        <v/>
      </c>
      <c r="H173" s="33"/>
      <c r="I173" s="34"/>
    </row>
    <row r="174" customFormat="false" ht="15" hidden="false" customHeight="false" outlineLevel="0" collapsed="false">
      <c r="A174" s="32"/>
      <c r="B174" s="29"/>
      <c r="C174" s="29"/>
      <c r="D174" s="25"/>
      <c r="E174" s="25"/>
      <c r="F174" s="25"/>
      <c r="G174" s="18" t="str">
        <f aca="false">IF(AND(D174="",F174=""),"",N(D174)-N(F174))</f>
        <v/>
      </c>
      <c r="H174" s="33"/>
      <c r="I174" s="34"/>
    </row>
    <row r="175" customFormat="false" ht="15" hidden="false" customHeight="false" outlineLevel="0" collapsed="false">
      <c r="A175" s="32"/>
      <c r="B175" s="29"/>
      <c r="C175" s="29"/>
      <c r="D175" s="25"/>
      <c r="E175" s="25"/>
      <c r="F175" s="25"/>
      <c r="G175" s="18" t="str">
        <f aca="false">IF(AND(D175="",F175=""),"",N(D175)-N(F175))</f>
        <v/>
      </c>
      <c r="H175" s="33"/>
      <c r="I175" s="34"/>
    </row>
    <row r="176" customFormat="false" ht="15" hidden="false" customHeight="false" outlineLevel="0" collapsed="false">
      <c r="A176" s="32"/>
      <c r="B176" s="29"/>
      <c r="C176" s="29"/>
      <c r="D176" s="25"/>
      <c r="E176" s="25"/>
      <c r="F176" s="25"/>
      <c r="G176" s="18" t="str">
        <f aca="false">IF(AND(D176="",F176=""),"",N(D176)-N(F176))</f>
        <v/>
      </c>
      <c r="H176" s="33"/>
      <c r="I176" s="34"/>
    </row>
    <row r="177" customFormat="false" ht="15" hidden="false" customHeight="false" outlineLevel="0" collapsed="false">
      <c r="A177" s="32"/>
      <c r="B177" s="29"/>
      <c r="C177" s="29"/>
      <c r="D177" s="25"/>
      <c r="E177" s="25"/>
      <c r="F177" s="25"/>
      <c r="G177" s="18" t="str">
        <f aca="false">IF(AND(D177="",F177=""),"",N(D177)-N(F177))</f>
        <v/>
      </c>
      <c r="H177" s="33"/>
      <c r="I177" s="34"/>
    </row>
    <row r="178" customFormat="false" ht="15" hidden="false" customHeight="false" outlineLevel="0" collapsed="false">
      <c r="A178" s="32"/>
      <c r="B178" s="29"/>
      <c r="C178" s="29"/>
      <c r="D178" s="25"/>
      <c r="E178" s="25"/>
      <c r="F178" s="25"/>
      <c r="G178" s="18" t="str">
        <f aca="false">IF(AND(D178="",F178=""),"",N(D178)-N(F178))</f>
        <v/>
      </c>
      <c r="H178" s="33"/>
      <c r="I178" s="34"/>
    </row>
    <row r="179" customFormat="false" ht="15" hidden="false" customHeight="false" outlineLevel="0" collapsed="false">
      <c r="A179" s="32"/>
      <c r="B179" s="29"/>
      <c r="C179" s="29"/>
      <c r="D179" s="25"/>
      <c r="E179" s="25"/>
      <c r="F179" s="25"/>
      <c r="G179" s="18" t="str">
        <f aca="false">IF(AND(D179="",F179=""),"",N(D179)-N(F179))</f>
        <v/>
      </c>
      <c r="H179" s="33"/>
      <c r="I179" s="34"/>
    </row>
    <row r="180" customFormat="false" ht="15" hidden="false" customHeight="false" outlineLevel="0" collapsed="false">
      <c r="A180" s="32"/>
      <c r="B180" s="29"/>
      <c r="C180" s="29"/>
      <c r="D180" s="25"/>
      <c r="E180" s="25"/>
      <c r="F180" s="25"/>
      <c r="G180" s="18" t="str">
        <f aca="false">IF(AND(D180="",F180=""),"",N(D180)-N(F180))</f>
        <v/>
      </c>
      <c r="H180" s="33"/>
      <c r="I180" s="34"/>
    </row>
    <row r="181" customFormat="false" ht="15" hidden="false" customHeight="false" outlineLevel="0" collapsed="false">
      <c r="A181" s="32"/>
      <c r="B181" s="29"/>
      <c r="C181" s="29"/>
      <c r="D181" s="25"/>
      <c r="E181" s="25"/>
      <c r="F181" s="25"/>
      <c r="G181" s="18" t="str">
        <f aca="false">IF(AND(D181="",F181=""),"",N(D181)-N(F181))</f>
        <v/>
      </c>
      <c r="H181" s="33"/>
      <c r="I181" s="34"/>
    </row>
    <row r="182" customFormat="false" ht="15" hidden="false" customHeight="false" outlineLevel="0" collapsed="false">
      <c r="A182" s="32"/>
      <c r="B182" s="29"/>
      <c r="C182" s="29"/>
      <c r="D182" s="25"/>
      <c r="E182" s="25"/>
      <c r="F182" s="25"/>
      <c r="G182" s="18" t="str">
        <f aca="false">IF(AND(D182="",F182=""),"",N(D182)-N(F182))</f>
        <v/>
      </c>
      <c r="H182" s="33"/>
      <c r="I182" s="34"/>
    </row>
    <row r="183" customFormat="false" ht="15" hidden="false" customHeight="false" outlineLevel="0" collapsed="false">
      <c r="A183" s="32"/>
      <c r="B183" s="29"/>
      <c r="C183" s="29"/>
      <c r="D183" s="25"/>
      <c r="E183" s="25"/>
      <c r="F183" s="25"/>
      <c r="G183" s="18" t="str">
        <f aca="false">IF(AND(D183="",F183=""),"",N(D183)-N(F183))</f>
        <v/>
      </c>
      <c r="H183" s="33"/>
      <c r="I183" s="34"/>
    </row>
    <row r="184" customFormat="false" ht="15" hidden="false" customHeight="false" outlineLevel="0" collapsed="false">
      <c r="A184" s="32"/>
      <c r="B184" s="29"/>
      <c r="C184" s="29"/>
      <c r="D184" s="25"/>
      <c r="E184" s="25"/>
      <c r="F184" s="25"/>
      <c r="G184" s="18" t="str">
        <f aca="false">IF(AND(D184="",F184=""),"",N(D184)-N(F184))</f>
        <v/>
      </c>
      <c r="H184" s="33"/>
      <c r="I184" s="34"/>
    </row>
    <row r="185" customFormat="false" ht="15" hidden="false" customHeight="false" outlineLevel="0" collapsed="false">
      <c r="A185" s="32"/>
      <c r="B185" s="29"/>
      <c r="C185" s="29"/>
      <c r="D185" s="25"/>
      <c r="E185" s="25"/>
      <c r="F185" s="25"/>
      <c r="G185" s="18" t="str">
        <f aca="false">IF(AND(D185="",F185=""),"",N(D185)-N(F185))</f>
        <v/>
      </c>
      <c r="H185" s="33"/>
      <c r="I185" s="34"/>
    </row>
    <row r="186" customFormat="false" ht="15" hidden="false" customHeight="false" outlineLevel="0" collapsed="false">
      <c r="A186" s="32"/>
      <c r="B186" s="29"/>
      <c r="C186" s="29"/>
      <c r="D186" s="25"/>
      <c r="E186" s="25"/>
      <c r="F186" s="25"/>
      <c r="G186" s="18" t="str">
        <f aca="false">IF(AND(D186="",F186=""),"",N(D186)-N(F186))</f>
        <v/>
      </c>
      <c r="H186" s="33"/>
      <c r="I186" s="34"/>
    </row>
    <row r="187" customFormat="false" ht="15" hidden="false" customHeight="false" outlineLevel="0" collapsed="false">
      <c r="A187" s="32"/>
      <c r="B187" s="29"/>
      <c r="C187" s="29"/>
      <c r="D187" s="25"/>
      <c r="E187" s="25"/>
      <c r="F187" s="25"/>
      <c r="G187" s="18" t="str">
        <f aca="false">IF(AND(D187="",F187=""),"",N(D187)-N(F187))</f>
        <v/>
      </c>
      <c r="H187" s="33"/>
      <c r="I187" s="34"/>
    </row>
    <row r="188" customFormat="false" ht="15" hidden="false" customHeight="false" outlineLevel="0" collapsed="false">
      <c r="A188" s="32"/>
      <c r="B188" s="29"/>
      <c r="C188" s="29"/>
      <c r="D188" s="25"/>
      <c r="E188" s="25"/>
      <c r="F188" s="25"/>
      <c r="G188" s="18" t="str">
        <f aca="false">IF(AND(D188="",F188=""),"",N(D188)-N(F188))</f>
        <v/>
      </c>
      <c r="H188" s="33"/>
      <c r="I188" s="34"/>
    </row>
    <row r="189" customFormat="false" ht="15" hidden="false" customHeight="false" outlineLevel="0" collapsed="false">
      <c r="A189" s="32"/>
      <c r="B189" s="29"/>
      <c r="C189" s="29"/>
      <c r="D189" s="25"/>
      <c r="E189" s="25"/>
      <c r="F189" s="25"/>
      <c r="G189" s="18" t="str">
        <f aca="false">IF(AND(D189="",F189=""),"",N(D189)-N(F189))</f>
        <v/>
      </c>
      <c r="H189" s="33"/>
      <c r="I189" s="34"/>
    </row>
    <row r="190" customFormat="false" ht="15" hidden="false" customHeight="false" outlineLevel="0" collapsed="false">
      <c r="A190" s="32"/>
      <c r="B190" s="29"/>
      <c r="C190" s="29"/>
      <c r="D190" s="25"/>
      <c r="E190" s="25"/>
      <c r="F190" s="25"/>
      <c r="G190" s="18" t="str">
        <f aca="false">IF(AND(D190="",F190=""),"",N(D190)-N(F190))</f>
        <v/>
      </c>
      <c r="H190" s="33"/>
      <c r="I190" s="34"/>
    </row>
    <row r="191" customFormat="false" ht="15" hidden="false" customHeight="false" outlineLevel="0" collapsed="false">
      <c r="A191" s="32"/>
      <c r="B191" s="29"/>
      <c r="C191" s="29"/>
      <c r="D191" s="25"/>
      <c r="E191" s="25"/>
      <c r="F191" s="25"/>
      <c r="G191" s="18" t="str">
        <f aca="false">IF(AND(D191="",F191=""),"",N(D191)-N(F191))</f>
        <v/>
      </c>
      <c r="H191" s="33"/>
      <c r="I191" s="34"/>
    </row>
    <row r="192" customFormat="false" ht="15" hidden="false" customHeight="false" outlineLevel="0" collapsed="false">
      <c r="A192" s="32"/>
      <c r="B192" s="29"/>
      <c r="C192" s="29"/>
      <c r="D192" s="25"/>
      <c r="E192" s="25"/>
      <c r="F192" s="25"/>
      <c r="G192" s="18" t="str">
        <f aca="false">IF(AND(D192="",F192=""),"",N(D192)-N(F192))</f>
        <v/>
      </c>
      <c r="H192" s="33"/>
      <c r="I192" s="34"/>
    </row>
    <row r="193" customFormat="false" ht="15" hidden="false" customHeight="false" outlineLevel="0" collapsed="false">
      <c r="A193" s="32"/>
      <c r="B193" s="29"/>
      <c r="C193" s="29"/>
      <c r="D193" s="25"/>
      <c r="E193" s="25"/>
      <c r="F193" s="25"/>
      <c r="G193" s="18" t="str">
        <f aca="false">IF(AND(D193="",F193=""),"",N(D193)-N(F193))</f>
        <v/>
      </c>
      <c r="H193" s="33"/>
      <c r="I193" s="34"/>
    </row>
    <row r="194" customFormat="false" ht="15" hidden="false" customHeight="false" outlineLevel="0" collapsed="false">
      <c r="A194" s="32"/>
      <c r="B194" s="29"/>
      <c r="C194" s="29"/>
      <c r="D194" s="25"/>
      <c r="E194" s="25"/>
      <c r="F194" s="25"/>
      <c r="G194" s="18" t="str">
        <f aca="false">IF(AND(D194="",F194=""),"",N(D194)-N(F194))</f>
        <v/>
      </c>
      <c r="H194" s="33"/>
      <c r="I194" s="34"/>
    </row>
    <row r="195" customFormat="false" ht="15" hidden="false" customHeight="false" outlineLevel="0" collapsed="false">
      <c r="A195" s="32"/>
      <c r="B195" s="29"/>
      <c r="C195" s="29"/>
      <c r="D195" s="25"/>
      <c r="E195" s="25"/>
      <c r="F195" s="25"/>
      <c r="G195" s="18" t="str">
        <f aca="false">IF(AND(D195="",F195=""),"",N(D195)-N(F195))</f>
        <v/>
      </c>
      <c r="H195" s="33"/>
      <c r="I195" s="34"/>
    </row>
    <row r="196" customFormat="false" ht="15" hidden="false" customHeight="false" outlineLevel="0" collapsed="false">
      <c r="A196" s="32"/>
      <c r="B196" s="29"/>
      <c r="C196" s="29"/>
      <c r="D196" s="25"/>
      <c r="E196" s="25"/>
      <c r="F196" s="25"/>
      <c r="G196" s="18" t="str">
        <f aca="false">IF(AND(D196="",F196=""),"",N(D196)-N(F196))</f>
        <v/>
      </c>
      <c r="H196" s="33"/>
      <c r="I196" s="34"/>
    </row>
    <row r="197" customFormat="false" ht="15" hidden="false" customHeight="false" outlineLevel="0" collapsed="false">
      <c r="A197" s="32"/>
      <c r="B197" s="29"/>
      <c r="C197" s="29"/>
      <c r="D197" s="25"/>
      <c r="E197" s="25"/>
      <c r="F197" s="25"/>
      <c r="G197" s="18" t="str">
        <f aca="false">IF(AND(D197="",F197=""),"",N(D197)-N(F197))</f>
        <v/>
      </c>
      <c r="H197" s="33"/>
      <c r="I197" s="34"/>
    </row>
    <row r="198" customFormat="false" ht="15" hidden="false" customHeight="false" outlineLevel="0" collapsed="false">
      <c r="A198" s="32"/>
      <c r="B198" s="29"/>
      <c r="C198" s="29"/>
      <c r="D198" s="25"/>
      <c r="E198" s="25"/>
      <c r="F198" s="25"/>
      <c r="G198" s="18" t="str">
        <f aca="false">IF(AND(D198="",F198=""),"",N(D198)-N(F198))</f>
        <v/>
      </c>
      <c r="H198" s="33"/>
      <c r="I198" s="34"/>
    </row>
    <row r="199" customFormat="false" ht="15" hidden="false" customHeight="false" outlineLevel="0" collapsed="false">
      <c r="A199" s="32"/>
      <c r="B199" s="29"/>
      <c r="C199" s="29"/>
      <c r="D199" s="25"/>
      <c r="E199" s="25"/>
      <c r="F199" s="25"/>
      <c r="G199" s="18" t="str">
        <f aca="false">IF(AND(D199="",F199=""),"",N(D199)-N(F199))</f>
        <v/>
      </c>
      <c r="H199" s="33"/>
      <c r="I199" s="34"/>
    </row>
    <row r="200" customFormat="false" ht="15" hidden="false" customHeight="false" outlineLevel="0" collapsed="false">
      <c r="A200" s="32"/>
      <c r="B200" s="29"/>
      <c r="C200" s="29"/>
      <c r="D200" s="25"/>
      <c r="E200" s="25"/>
      <c r="F200" s="25"/>
      <c r="G200" s="18" t="str">
        <f aca="false">IF(AND(D200="",F200=""),"",N(D200)-N(F200))</f>
        <v/>
      </c>
      <c r="H200" s="33"/>
      <c r="I200" s="34"/>
    </row>
    <row r="201" customFormat="false" ht="15" hidden="false" customHeight="false" outlineLevel="0" collapsed="false">
      <c r="A201" s="32"/>
      <c r="B201" s="29"/>
      <c r="C201" s="29"/>
      <c r="D201" s="25"/>
      <c r="E201" s="25"/>
      <c r="F201" s="25"/>
      <c r="G201" s="18" t="str">
        <f aca="false">IF(AND(D201="",F201=""),"",N(D201)-N(F201))</f>
        <v/>
      </c>
      <c r="H201" s="33"/>
      <c r="I201" s="34"/>
    </row>
    <row r="202" customFormat="false" ht="15" hidden="false" customHeight="false" outlineLevel="0" collapsed="false">
      <c r="A202" s="32"/>
      <c r="B202" s="29"/>
      <c r="C202" s="29"/>
      <c r="D202" s="25"/>
      <c r="E202" s="25"/>
      <c r="F202" s="25"/>
      <c r="G202" s="18" t="str">
        <f aca="false">IF(AND(D202="",F202=""),"",N(D202)-N(F202))</f>
        <v/>
      </c>
      <c r="H202" s="33"/>
      <c r="I202" s="34"/>
    </row>
    <row r="203" customFormat="false" ht="15" hidden="false" customHeight="false" outlineLevel="0" collapsed="false">
      <c r="A203" s="32"/>
      <c r="B203" s="29"/>
      <c r="C203" s="29"/>
      <c r="D203" s="25"/>
      <c r="E203" s="25"/>
      <c r="F203" s="25"/>
      <c r="G203" s="18" t="str">
        <f aca="false">IF(AND(D203="",F203=""),"",N(D203)-N(F203))</f>
        <v/>
      </c>
      <c r="H203" s="33"/>
      <c r="I203" s="34"/>
    </row>
    <row r="204" customFormat="false" ht="15" hidden="false" customHeight="false" outlineLevel="0" collapsed="false">
      <c r="A204" s="32"/>
      <c r="B204" s="29"/>
      <c r="C204" s="29"/>
      <c r="D204" s="25"/>
      <c r="E204" s="25"/>
      <c r="F204" s="25"/>
      <c r="G204" s="18" t="str">
        <f aca="false">IF(AND(D204="",F204=""),"",N(D204)-N(F204))</f>
        <v/>
      </c>
      <c r="H204" s="33"/>
      <c r="I204" s="34"/>
    </row>
    <row r="205" customFormat="false" ht="15" hidden="false" customHeight="false" outlineLevel="0" collapsed="false">
      <c r="A205" s="32"/>
      <c r="B205" s="29"/>
      <c r="C205" s="29"/>
      <c r="D205" s="25"/>
      <c r="E205" s="25"/>
      <c r="F205" s="25"/>
      <c r="G205" s="18" t="str">
        <f aca="false">IF(AND(D205="",F205=""),"",N(D205)-N(F205))</f>
        <v/>
      </c>
      <c r="H205" s="33"/>
      <c r="I205" s="34"/>
    </row>
    <row r="206" customFormat="false" ht="15" hidden="false" customHeight="false" outlineLevel="0" collapsed="false">
      <c r="A206" s="32"/>
      <c r="B206" s="29"/>
      <c r="C206" s="29"/>
      <c r="D206" s="25"/>
      <c r="E206" s="25"/>
      <c r="F206" s="25"/>
      <c r="G206" s="18" t="str">
        <f aca="false">IF(AND(D206="",F206=""),"",N(D206)-N(F206))</f>
        <v/>
      </c>
      <c r="H206" s="33"/>
      <c r="I206" s="34"/>
    </row>
    <row r="207" customFormat="false" ht="15" hidden="false" customHeight="false" outlineLevel="0" collapsed="false">
      <c r="A207" s="32"/>
      <c r="B207" s="29"/>
      <c r="C207" s="29"/>
      <c r="D207" s="25"/>
      <c r="E207" s="25"/>
      <c r="F207" s="25"/>
      <c r="G207" s="18" t="str">
        <f aca="false">IF(AND(D207="",F207=""),"",N(D207)-N(F207))</f>
        <v/>
      </c>
      <c r="H207" s="33"/>
      <c r="I207" s="34"/>
    </row>
    <row r="208" customFormat="false" ht="15" hidden="false" customHeight="false" outlineLevel="0" collapsed="false">
      <c r="A208" s="32"/>
      <c r="B208" s="29"/>
      <c r="C208" s="29"/>
      <c r="D208" s="25"/>
      <c r="E208" s="25"/>
      <c r="F208" s="25"/>
      <c r="G208" s="18" t="str">
        <f aca="false">IF(AND(D208="",F208=""),"",N(D208)-N(F208))</f>
        <v/>
      </c>
      <c r="H208" s="33"/>
      <c r="I208" s="34"/>
    </row>
    <row r="209" customFormat="false" ht="15" hidden="false" customHeight="false" outlineLevel="0" collapsed="false">
      <c r="A209" s="32"/>
      <c r="B209" s="29"/>
      <c r="C209" s="29"/>
      <c r="D209" s="25"/>
      <c r="E209" s="25"/>
      <c r="F209" s="25"/>
      <c r="G209" s="18" t="str">
        <f aca="false">IF(AND(D209="",F209=""),"",N(D209)-N(F209))</f>
        <v/>
      </c>
      <c r="H209" s="33"/>
      <c r="I209" s="34"/>
    </row>
    <row r="210" customFormat="false" ht="15" hidden="false" customHeight="false" outlineLevel="0" collapsed="false">
      <c r="A210" s="32"/>
      <c r="B210" s="29"/>
      <c r="C210" s="29"/>
      <c r="D210" s="25"/>
      <c r="E210" s="25"/>
      <c r="F210" s="25"/>
      <c r="G210" s="18" t="str">
        <f aca="false">IF(AND(D210="",F210=""),"",N(D210)-N(F210))</f>
        <v/>
      </c>
      <c r="H210" s="33"/>
      <c r="I210" s="34"/>
    </row>
    <row r="211" customFormat="false" ht="15" hidden="false" customHeight="false" outlineLevel="0" collapsed="false">
      <c r="A211" s="32"/>
      <c r="B211" s="29"/>
      <c r="C211" s="29"/>
      <c r="D211" s="25"/>
      <c r="E211" s="25"/>
      <c r="F211" s="25"/>
      <c r="G211" s="18" t="str">
        <f aca="false">IF(AND(D211="",F211=""),"",N(D211)-N(F211))</f>
        <v/>
      </c>
      <c r="H211" s="33"/>
      <c r="I211" s="34"/>
    </row>
    <row r="212" customFormat="false" ht="15" hidden="false" customHeight="false" outlineLevel="0" collapsed="false">
      <c r="A212" s="32"/>
      <c r="B212" s="29"/>
      <c r="C212" s="29"/>
      <c r="D212" s="25"/>
      <c r="E212" s="25"/>
      <c r="F212" s="25"/>
      <c r="G212" s="18" t="str">
        <f aca="false">IF(AND(D212="",F212=""),"",N(D212)-N(F212))</f>
        <v/>
      </c>
      <c r="H212" s="33"/>
      <c r="I212" s="34"/>
    </row>
    <row r="213" customFormat="false" ht="15" hidden="false" customHeight="false" outlineLevel="0" collapsed="false">
      <c r="A213" s="32"/>
      <c r="B213" s="29"/>
      <c r="C213" s="29"/>
      <c r="D213" s="25"/>
      <c r="E213" s="25"/>
      <c r="F213" s="25"/>
      <c r="G213" s="18" t="str">
        <f aca="false">IF(AND(D213="",F213=""),"",N(D213)-N(F213))</f>
        <v/>
      </c>
      <c r="H213" s="33"/>
      <c r="I213" s="34"/>
    </row>
    <row r="214" customFormat="false" ht="15" hidden="false" customHeight="false" outlineLevel="0" collapsed="false">
      <c r="A214" s="32"/>
      <c r="B214" s="29"/>
      <c r="C214" s="29"/>
      <c r="D214" s="25"/>
      <c r="E214" s="25"/>
      <c r="F214" s="25"/>
      <c r="G214" s="18" t="str">
        <f aca="false">IF(AND(D214="",F214=""),"",N(D214)-N(F214))</f>
        <v/>
      </c>
      <c r="H214" s="33"/>
      <c r="I214" s="34"/>
    </row>
    <row r="215" customFormat="false" ht="15" hidden="false" customHeight="false" outlineLevel="0" collapsed="false">
      <c r="A215" s="32"/>
      <c r="B215" s="29"/>
      <c r="C215" s="29"/>
      <c r="D215" s="25"/>
      <c r="E215" s="25"/>
      <c r="F215" s="25"/>
      <c r="G215" s="18" t="str">
        <f aca="false">IF(AND(D215="",F215=""),"",N(D215)-N(F215))</f>
        <v/>
      </c>
      <c r="H215" s="33"/>
      <c r="I215" s="34"/>
    </row>
    <row r="216" customFormat="false" ht="15" hidden="false" customHeight="false" outlineLevel="0" collapsed="false">
      <c r="A216" s="32"/>
      <c r="B216" s="29"/>
      <c r="C216" s="29"/>
      <c r="D216" s="25"/>
      <c r="E216" s="25"/>
      <c r="F216" s="25"/>
      <c r="G216" s="18" t="str">
        <f aca="false">IF(AND(D216="",F216=""),"",N(D216)-N(F216))</f>
        <v/>
      </c>
      <c r="H216" s="33"/>
      <c r="I216" s="34"/>
    </row>
    <row r="217" customFormat="false" ht="15" hidden="false" customHeight="false" outlineLevel="0" collapsed="false">
      <c r="A217" s="32"/>
      <c r="B217" s="29"/>
      <c r="C217" s="29"/>
      <c r="D217" s="25"/>
      <c r="E217" s="25"/>
      <c r="F217" s="25"/>
      <c r="G217" s="18" t="str">
        <f aca="false">IF(AND(D217="",F217=""),"",N(D217)-N(F217))</f>
        <v/>
      </c>
      <c r="H217" s="33"/>
      <c r="I217" s="34"/>
    </row>
    <row r="218" customFormat="false" ht="15" hidden="false" customHeight="false" outlineLevel="0" collapsed="false">
      <c r="A218" s="32"/>
      <c r="B218" s="29"/>
      <c r="C218" s="29"/>
      <c r="D218" s="25"/>
      <c r="E218" s="25"/>
      <c r="F218" s="25"/>
      <c r="G218" s="18" t="str">
        <f aca="false">IF(AND(D218="",F218=""),"",N(D218)-N(F218))</f>
        <v/>
      </c>
      <c r="H218" s="33"/>
      <c r="I218" s="34"/>
    </row>
    <row r="219" customFormat="false" ht="15" hidden="false" customHeight="false" outlineLevel="0" collapsed="false">
      <c r="A219" s="32"/>
      <c r="B219" s="29"/>
      <c r="C219" s="29"/>
      <c r="D219" s="25"/>
      <c r="E219" s="25"/>
      <c r="F219" s="25"/>
      <c r="G219" s="18" t="str">
        <f aca="false">IF(AND(D219="",F219=""),"",N(D219)-N(F219))</f>
        <v/>
      </c>
      <c r="H219" s="33"/>
      <c r="I219" s="34"/>
    </row>
    <row r="220" customFormat="false" ht="15" hidden="false" customHeight="false" outlineLevel="0" collapsed="false">
      <c r="A220" s="32"/>
      <c r="B220" s="29"/>
      <c r="C220" s="29"/>
      <c r="D220" s="25"/>
      <c r="E220" s="25"/>
      <c r="F220" s="25"/>
      <c r="G220" s="18" t="str">
        <f aca="false">IF(AND(D220="",F220=""),"",N(D220)-N(F220))</f>
        <v/>
      </c>
      <c r="H220" s="33"/>
      <c r="I220" s="34"/>
    </row>
    <row r="221" customFormat="false" ht="15" hidden="false" customHeight="false" outlineLevel="0" collapsed="false">
      <c r="A221" s="32"/>
      <c r="B221" s="29"/>
      <c r="C221" s="29"/>
      <c r="D221" s="25"/>
      <c r="E221" s="25"/>
      <c r="F221" s="25"/>
      <c r="G221" s="18" t="str">
        <f aca="false">IF(AND(D221="",F221=""),"",N(D221)-N(F221))</f>
        <v/>
      </c>
      <c r="H221" s="33"/>
      <c r="I221" s="34"/>
    </row>
    <row r="222" customFormat="false" ht="15" hidden="false" customHeight="false" outlineLevel="0" collapsed="false">
      <c r="A222" s="32"/>
      <c r="B222" s="29"/>
      <c r="C222" s="29"/>
      <c r="D222" s="25"/>
      <c r="E222" s="25"/>
      <c r="F222" s="25"/>
      <c r="G222" s="18" t="str">
        <f aca="false">IF(AND(D222="",F222=""),"",N(D222)-N(F222))</f>
        <v/>
      </c>
      <c r="H222" s="33"/>
      <c r="I222" s="34"/>
    </row>
    <row r="223" customFormat="false" ht="15" hidden="false" customHeight="false" outlineLevel="0" collapsed="false">
      <c r="A223" s="32"/>
      <c r="B223" s="29"/>
      <c r="C223" s="29"/>
      <c r="D223" s="25"/>
      <c r="E223" s="25"/>
      <c r="F223" s="25"/>
      <c r="G223" s="18" t="str">
        <f aca="false">IF(AND(D223="",F223=""),"",N(D223)-N(F223))</f>
        <v/>
      </c>
      <c r="H223" s="33"/>
      <c r="I223" s="34"/>
    </row>
    <row r="224" customFormat="false" ht="15" hidden="false" customHeight="false" outlineLevel="0" collapsed="false">
      <c r="A224" s="32"/>
      <c r="B224" s="29"/>
      <c r="C224" s="29"/>
      <c r="D224" s="25"/>
      <c r="E224" s="25"/>
      <c r="F224" s="25"/>
      <c r="G224" s="18" t="str">
        <f aca="false">IF(AND(D224="",F224=""),"",N(D224)-N(F224))</f>
        <v/>
      </c>
      <c r="H224" s="33"/>
      <c r="I224" s="34"/>
    </row>
    <row r="225" customFormat="false" ht="15" hidden="false" customHeight="false" outlineLevel="0" collapsed="false">
      <c r="A225" s="32"/>
      <c r="B225" s="29"/>
      <c r="C225" s="29"/>
      <c r="D225" s="25"/>
      <c r="E225" s="25"/>
      <c r="F225" s="25"/>
      <c r="G225" s="18" t="str">
        <f aca="false">IF(AND(D225="",F225=""),"",N(D225)-N(F225))</f>
        <v/>
      </c>
      <c r="H225" s="33"/>
      <c r="I225" s="34"/>
    </row>
    <row r="226" customFormat="false" ht="15" hidden="false" customHeight="false" outlineLevel="0" collapsed="false">
      <c r="A226" s="32"/>
      <c r="B226" s="29"/>
      <c r="C226" s="29"/>
      <c r="D226" s="25"/>
      <c r="E226" s="25"/>
      <c r="F226" s="25"/>
      <c r="G226" s="18" t="str">
        <f aca="false">IF(AND(D226="",F226=""),"",N(D226)-N(F226))</f>
        <v/>
      </c>
      <c r="H226" s="33"/>
      <c r="I226" s="34"/>
    </row>
    <row r="227" customFormat="false" ht="15" hidden="false" customHeight="false" outlineLevel="0" collapsed="false">
      <c r="A227" s="32"/>
      <c r="B227" s="29"/>
      <c r="C227" s="29"/>
      <c r="D227" s="25"/>
      <c r="E227" s="25"/>
      <c r="F227" s="25"/>
      <c r="G227" s="18" t="str">
        <f aca="false">IF(AND(D227="",F227=""),"",N(D227)-N(F227))</f>
        <v/>
      </c>
      <c r="H227" s="33"/>
      <c r="I227" s="34"/>
    </row>
    <row r="228" customFormat="false" ht="15" hidden="false" customHeight="false" outlineLevel="0" collapsed="false">
      <c r="A228" s="32"/>
      <c r="B228" s="29"/>
      <c r="C228" s="29"/>
      <c r="D228" s="25"/>
      <c r="E228" s="25"/>
      <c r="F228" s="25"/>
      <c r="G228" s="18" t="str">
        <f aca="false">IF(AND(D228="",F228=""),"",N(D228)-N(F228))</f>
        <v/>
      </c>
      <c r="H228" s="33"/>
      <c r="I228" s="34"/>
    </row>
    <row r="229" customFormat="false" ht="15" hidden="false" customHeight="false" outlineLevel="0" collapsed="false">
      <c r="A229" s="32"/>
      <c r="B229" s="29"/>
      <c r="C229" s="29"/>
      <c r="D229" s="25"/>
      <c r="E229" s="25"/>
      <c r="F229" s="25"/>
      <c r="G229" s="18" t="str">
        <f aca="false">IF(AND(D229="",F229=""),"",N(D229)-N(F229))</f>
        <v/>
      </c>
      <c r="H229" s="33"/>
      <c r="I229" s="34"/>
    </row>
    <row r="230" customFormat="false" ht="15" hidden="false" customHeight="false" outlineLevel="0" collapsed="false">
      <c r="A230" s="32"/>
      <c r="B230" s="29"/>
      <c r="C230" s="29"/>
      <c r="D230" s="25"/>
      <c r="E230" s="25"/>
      <c r="F230" s="25"/>
      <c r="G230" s="18" t="str">
        <f aca="false">IF(AND(D230="",F230=""),"",N(D230)-N(F230))</f>
        <v/>
      </c>
      <c r="H230" s="33"/>
      <c r="I230" s="34"/>
    </row>
    <row r="231" customFormat="false" ht="15" hidden="false" customHeight="false" outlineLevel="0" collapsed="false">
      <c r="A231" s="32"/>
      <c r="B231" s="29"/>
      <c r="C231" s="29"/>
      <c r="D231" s="25"/>
      <c r="E231" s="25"/>
      <c r="F231" s="25"/>
      <c r="G231" s="18" t="str">
        <f aca="false">IF(AND(D231="",F231=""),"",N(D231)-N(F231))</f>
        <v/>
      </c>
      <c r="H231" s="33"/>
      <c r="I231" s="34"/>
    </row>
    <row r="232" customFormat="false" ht="15" hidden="false" customHeight="false" outlineLevel="0" collapsed="false">
      <c r="A232" s="32"/>
      <c r="B232" s="29"/>
      <c r="C232" s="29"/>
      <c r="D232" s="25"/>
      <c r="E232" s="25"/>
      <c r="F232" s="25"/>
      <c r="G232" s="18" t="str">
        <f aca="false">IF(AND(D232="",F232=""),"",N(D232)-N(F232))</f>
        <v/>
      </c>
      <c r="H232" s="33"/>
      <c r="I232" s="34"/>
    </row>
    <row r="233" customFormat="false" ht="15" hidden="false" customHeight="false" outlineLevel="0" collapsed="false">
      <c r="A233" s="32"/>
      <c r="B233" s="29"/>
      <c r="C233" s="29"/>
      <c r="D233" s="25"/>
      <c r="E233" s="25"/>
      <c r="F233" s="25"/>
      <c r="G233" s="18" t="str">
        <f aca="false">IF(AND(D233="",F233=""),"",N(D233)-N(F233))</f>
        <v/>
      </c>
      <c r="H233" s="33"/>
      <c r="I233" s="34"/>
    </row>
    <row r="234" customFormat="false" ht="15" hidden="false" customHeight="false" outlineLevel="0" collapsed="false">
      <c r="A234" s="32"/>
      <c r="B234" s="29"/>
      <c r="C234" s="29"/>
      <c r="D234" s="25"/>
      <c r="E234" s="25"/>
      <c r="F234" s="25"/>
      <c r="G234" s="18" t="str">
        <f aca="false">IF(AND(D234="",F234=""),"",N(D234)-N(F234))</f>
        <v/>
      </c>
      <c r="H234" s="33"/>
      <c r="I234" s="34"/>
    </row>
    <row r="235" customFormat="false" ht="15" hidden="false" customHeight="false" outlineLevel="0" collapsed="false">
      <c r="A235" s="32"/>
      <c r="B235" s="29"/>
      <c r="C235" s="29"/>
      <c r="D235" s="25"/>
      <c r="E235" s="25"/>
      <c r="F235" s="25"/>
      <c r="G235" s="18" t="str">
        <f aca="false">IF(AND(D235="",F235=""),"",N(D235)-N(F235))</f>
        <v/>
      </c>
      <c r="H235" s="33"/>
      <c r="I235" s="34"/>
    </row>
    <row r="236" customFormat="false" ht="15" hidden="false" customHeight="false" outlineLevel="0" collapsed="false">
      <c r="A236" s="32"/>
      <c r="B236" s="29"/>
      <c r="C236" s="29"/>
      <c r="D236" s="25"/>
      <c r="E236" s="25"/>
      <c r="F236" s="25"/>
      <c r="G236" s="18" t="str">
        <f aca="false">IF(AND(D236="",F236=""),"",N(D236)-N(F236))</f>
        <v/>
      </c>
      <c r="H236" s="33"/>
      <c r="I236" s="34"/>
    </row>
    <row r="237" customFormat="false" ht="15" hidden="false" customHeight="false" outlineLevel="0" collapsed="false">
      <c r="A237" s="32"/>
      <c r="B237" s="29"/>
      <c r="C237" s="29"/>
      <c r="D237" s="25"/>
      <c r="E237" s="25"/>
      <c r="F237" s="25"/>
      <c r="G237" s="18" t="str">
        <f aca="false">IF(AND(D237="",F237=""),"",N(D237)-N(F237))</f>
        <v/>
      </c>
      <c r="H237" s="33"/>
      <c r="I237" s="34"/>
    </row>
    <row r="238" customFormat="false" ht="15" hidden="false" customHeight="false" outlineLevel="0" collapsed="false">
      <c r="A238" s="32"/>
      <c r="B238" s="29"/>
      <c r="C238" s="29"/>
      <c r="D238" s="25"/>
      <c r="E238" s="25"/>
      <c r="F238" s="25"/>
      <c r="G238" s="18" t="str">
        <f aca="false">IF(AND(D238="",F238=""),"",N(D238)-N(F238))</f>
        <v/>
      </c>
      <c r="H238" s="33"/>
      <c r="I238" s="34"/>
    </row>
    <row r="239" customFormat="false" ht="15" hidden="false" customHeight="false" outlineLevel="0" collapsed="false">
      <c r="A239" s="32"/>
      <c r="B239" s="29"/>
      <c r="C239" s="29"/>
      <c r="D239" s="25"/>
      <c r="E239" s="25"/>
      <c r="F239" s="25"/>
      <c r="G239" s="18" t="str">
        <f aca="false">IF(AND(D239="",F239=""),"",N(D239)-N(F239))</f>
        <v/>
      </c>
      <c r="H239" s="33"/>
      <c r="I239" s="34"/>
    </row>
    <row r="240" customFormat="false" ht="15" hidden="false" customHeight="false" outlineLevel="0" collapsed="false">
      <c r="A240" s="32"/>
      <c r="B240" s="29"/>
      <c r="C240" s="29"/>
      <c r="D240" s="25"/>
      <c r="E240" s="25"/>
      <c r="F240" s="25"/>
      <c r="G240" s="18" t="str">
        <f aca="false">IF(AND(D240="",F240=""),"",N(D240)-N(F240))</f>
        <v/>
      </c>
      <c r="H240" s="33"/>
      <c r="I240" s="34"/>
    </row>
    <row r="241" customFormat="false" ht="15" hidden="false" customHeight="false" outlineLevel="0" collapsed="false">
      <c r="A241" s="32"/>
      <c r="B241" s="29"/>
      <c r="C241" s="29"/>
      <c r="D241" s="25"/>
      <c r="E241" s="25"/>
      <c r="F241" s="25"/>
      <c r="G241" s="18" t="str">
        <f aca="false">IF(AND(D241="",F241=""),"",N(D241)-N(F241))</f>
        <v/>
      </c>
      <c r="H241" s="33"/>
      <c r="I241" s="34"/>
    </row>
    <row r="242" customFormat="false" ht="15" hidden="false" customHeight="false" outlineLevel="0" collapsed="false">
      <c r="A242" s="32"/>
      <c r="B242" s="29"/>
      <c r="C242" s="29"/>
      <c r="D242" s="25"/>
      <c r="E242" s="25"/>
      <c r="F242" s="25"/>
      <c r="G242" s="18" t="str">
        <f aca="false">IF(AND(D242="",F242=""),"",N(D242)-N(F242))</f>
        <v/>
      </c>
      <c r="H242" s="33"/>
      <c r="I242" s="34"/>
    </row>
    <row r="243" customFormat="false" ht="15" hidden="false" customHeight="false" outlineLevel="0" collapsed="false">
      <c r="A243" s="32"/>
      <c r="B243" s="29"/>
      <c r="C243" s="29"/>
      <c r="D243" s="25"/>
      <c r="E243" s="25"/>
      <c r="F243" s="25"/>
      <c r="G243" s="18" t="str">
        <f aca="false">IF(AND(D243="",F243=""),"",N(D243)-N(F243))</f>
        <v/>
      </c>
      <c r="H243" s="33"/>
      <c r="I243" s="34"/>
    </row>
    <row r="244" customFormat="false" ht="15" hidden="false" customHeight="false" outlineLevel="0" collapsed="false">
      <c r="A244" s="32"/>
      <c r="B244" s="29"/>
      <c r="C244" s="29"/>
      <c r="D244" s="25"/>
      <c r="E244" s="25"/>
      <c r="F244" s="25"/>
      <c r="G244" s="18" t="str">
        <f aca="false">IF(AND(D244="",F244=""),"",N(D244)-N(F244))</f>
        <v/>
      </c>
      <c r="H244" s="33"/>
      <c r="I244" s="34"/>
    </row>
    <row r="245" customFormat="false" ht="15" hidden="false" customHeight="false" outlineLevel="0" collapsed="false">
      <c r="A245" s="32"/>
      <c r="B245" s="29"/>
      <c r="C245" s="29"/>
      <c r="D245" s="25"/>
      <c r="E245" s="25"/>
      <c r="F245" s="25"/>
      <c r="G245" s="18" t="str">
        <f aca="false">IF(AND(D245="",F245=""),"",N(D245)-N(F245))</f>
        <v/>
      </c>
      <c r="H245" s="33"/>
      <c r="I245" s="34"/>
    </row>
    <row r="246" customFormat="false" ht="15" hidden="false" customHeight="false" outlineLevel="0" collapsed="false">
      <c r="A246" s="32"/>
      <c r="B246" s="29"/>
      <c r="C246" s="29"/>
      <c r="D246" s="25"/>
      <c r="E246" s="25"/>
      <c r="F246" s="25"/>
      <c r="G246" s="18" t="str">
        <f aca="false">IF(AND(D246="",F246=""),"",N(D246)-N(F246))</f>
        <v/>
      </c>
      <c r="H246" s="33"/>
      <c r="I246" s="34"/>
    </row>
    <row r="247" customFormat="false" ht="15" hidden="false" customHeight="false" outlineLevel="0" collapsed="false">
      <c r="A247" s="32"/>
      <c r="B247" s="29"/>
      <c r="C247" s="29"/>
      <c r="D247" s="25"/>
      <c r="E247" s="25"/>
      <c r="F247" s="25"/>
      <c r="G247" s="18" t="str">
        <f aca="false">IF(AND(D247="",F247=""),"",N(D247)-N(F247))</f>
        <v/>
      </c>
      <c r="H247" s="33"/>
      <c r="I247" s="34"/>
    </row>
    <row r="248" customFormat="false" ht="15" hidden="false" customHeight="false" outlineLevel="0" collapsed="false">
      <c r="A248" s="32"/>
      <c r="B248" s="29"/>
      <c r="C248" s="29"/>
      <c r="D248" s="25"/>
      <c r="E248" s="25"/>
      <c r="F248" s="25"/>
      <c r="G248" s="18" t="str">
        <f aca="false">IF(AND(D248="",F248=""),"",N(D248)-N(F248))</f>
        <v/>
      </c>
      <c r="H248" s="33"/>
      <c r="I248" s="34"/>
    </row>
    <row r="249" customFormat="false" ht="15" hidden="false" customHeight="false" outlineLevel="0" collapsed="false">
      <c r="A249" s="32"/>
      <c r="B249" s="29"/>
      <c r="C249" s="29"/>
      <c r="D249" s="25"/>
      <c r="E249" s="25"/>
      <c r="F249" s="25"/>
      <c r="G249" s="18" t="str">
        <f aca="false">IF(AND(D249="",F249=""),"",N(D249)-N(F249))</f>
        <v/>
      </c>
      <c r="H249" s="33"/>
      <c r="I249" s="34"/>
    </row>
    <row r="250" customFormat="false" ht="15" hidden="false" customHeight="false" outlineLevel="0" collapsed="false">
      <c r="A250" s="32"/>
      <c r="B250" s="29"/>
      <c r="C250" s="29"/>
      <c r="D250" s="25"/>
      <c r="E250" s="25"/>
      <c r="F250" s="25"/>
      <c r="G250" s="18" t="str">
        <f aca="false">IF(AND(D250="",F250=""),"",N(D250)-N(F250))</f>
        <v/>
      </c>
      <c r="H250" s="33"/>
      <c r="I250" s="34"/>
    </row>
    <row r="251" customFormat="false" ht="15" hidden="false" customHeight="false" outlineLevel="0" collapsed="false">
      <c r="A251" s="32"/>
      <c r="B251" s="29"/>
      <c r="C251" s="29"/>
      <c r="D251" s="25"/>
      <c r="E251" s="25"/>
      <c r="F251" s="25"/>
      <c r="G251" s="18" t="str">
        <f aca="false">IF(AND(D251="",F251=""),"",N(D251)-N(F251))</f>
        <v/>
      </c>
      <c r="H251" s="33"/>
      <c r="I251" s="34"/>
    </row>
    <row r="252" customFormat="false" ht="15" hidden="false" customHeight="false" outlineLevel="0" collapsed="false">
      <c r="A252" s="32"/>
      <c r="B252" s="29"/>
      <c r="C252" s="29"/>
      <c r="D252" s="25"/>
      <c r="E252" s="25"/>
      <c r="F252" s="25"/>
      <c r="G252" s="18" t="str">
        <f aca="false">IF(AND(D252="",F252=""),"",N(D252)-N(F252))</f>
        <v/>
      </c>
      <c r="H252" s="33"/>
      <c r="I252" s="34"/>
    </row>
    <row r="253" customFormat="false" ht="15" hidden="false" customHeight="false" outlineLevel="0" collapsed="false">
      <c r="A253" s="32"/>
      <c r="B253" s="29"/>
      <c r="C253" s="29"/>
      <c r="D253" s="25"/>
      <c r="E253" s="25"/>
      <c r="F253" s="25"/>
      <c r="G253" s="18" t="str">
        <f aca="false">IF(AND(D253="",F253=""),"",N(D253)-N(F253))</f>
        <v/>
      </c>
      <c r="H253" s="33"/>
      <c r="I253" s="34"/>
    </row>
    <row r="254" customFormat="false" ht="15" hidden="false" customHeight="false" outlineLevel="0" collapsed="false">
      <c r="A254" s="32"/>
      <c r="B254" s="29"/>
      <c r="C254" s="29"/>
      <c r="D254" s="25"/>
      <c r="E254" s="25"/>
      <c r="F254" s="25"/>
      <c r="G254" s="18" t="str">
        <f aca="false">IF(AND(D254="",F254=""),"",N(D254)-N(F254))</f>
        <v/>
      </c>
      <c r="H254" s="33"/>
      <c r="I254" s="34"/>
    </row>
    <row r="255" customFormat="false" ht="15" hidden="false" customHeight="false" outlineLevel="0" collapsed="false">
      <c r="A255" s="32"/>
      <c r="B255" s="29"/>
      <c r="C255" s="29"/>
      <c r="D255" s="25"/>
      <c r="E255" s="25"/>
      <c r="F255" s="25"/>
      <c r="G255" s="18" t="str">
        <f aca="false">IF(AND(D255="",F255=""),"",N(D255)-N(F255))</f>
        <v/>
      </c>
      <c r="H255" s="33"/>
      <c r="I255" s="34"/>
    </row>
    <row r="256" customFormat="false" ht="15" hidden="false" customHeight="false" outlineLevel="0" collapsed="false">
      <c r="A256" s="32"/>
      <c r="B256" s="29"/>
      <c r="C256" s="29"/>
      <c r="D256" s="25"/>
      <c r="E256" s="25"/>
      <c r="F256" s="25"/>
      <c r="G256" s="18" t="str">
        <f aca="false">IF(AND(D256="",F256=""),"",N(D256)-N(F256))</f>
        <v/>
      </c>
      <c r="H256" s="33"/>
      <c r="I256" s="34"/>
    </row>
    <row r="257" customFormat="false" ht="15" hidden="false" customHeight="false" outlineLevel="0" collapsed="false">
      <c r="A257" s="32"/>
      <c r="B257" s="29"/>
      <c r="C257" s="29"/>
      <c r="D257" s="25"/>
      <c r="E257" s="25"/>
      <c r="F257" s="25"/>
      <c r="G257" s="18" t="str">
        <f aca="false">IF(AND(D257="",F257=""),"",N(D257)-N(F257))</f>
        <v/>
      </c>
      <c r="H257" s="33"/>
      <c r="I257" s="34"/>
    </row>
    <row r="258" customFormat="false" ht="15" hidden="false" customHeight="false" outlineLevel="0" collapsed="false">
      <c r="A258" s="32"/>
      <c r="B258" s="29"/>
      <c r="C258" s="29"/>
      <c r="D258" s="25"/>
      <c r="E258" s="25"/>
      <c r="F258" s="25"/>
      <c r="G258" s="18" t="str">
        <f aca="false">IF(AND(D258="",F258=""),"",N(D258)-N(F258))</f>
        <v/>
      </c>
      <c r="H258" s="33"/>
      <c r="I258" s="34"/>
    </row>
    <row r="259" customFormat="false" ht="15" hidden="false" customHeight="false" outlineLevel="0" collapsed="false">
      <c r="A259" s="32"/>
      <c r="B259" s="29"/>
      <c r="C259" s="29"/>
      <c r="D259" s="25"/>
      <c r="E259" s="25"/>
      <c r="F259" s="25"/>
      <c r="G259" s="18" t="str">
        <f aca="false">IF(AND(D259="",F259=""),"",N(D259)-N(F259))</f>
        <v/>
      </c>
      <c r="H259" s="33"/>
      <c r="I259" s="34"/>
    </row>
    <row r="260" customFormat="false" ht="15" hidden="false" customHeight="false" outlineLevel="0" collapsed="false">
      <c r="A260" s="32"/>
      <c r="B260" s="29"/>
      <c r="C260" s="29"/>
      <c r="D260" s="25"/>
      <c r="E260" s="25"/>
      <c r="F260" s="25"/>
      <c r="G260" s="18" t="str">
        <f aca="false">IF(AND(D260="",F260=""),"",N(D260)-N(F260))</f>
        <v/>
      </c>
      <c r="H260" s="33"/>
      <c r="I260" s="34"/>
    </row>
    <row r="261" customFormat="false" ht="15" hidden="false" customHeight="false" outlineLevel="0" collapsed="false">
      <c r="A261" s="32"/>
      <c r="B261" s="29"/>
      <c r="C261" s="29"/>
      <c r="D261" s="25"/>
      <c r="E261" s="25"/>
      <c r="F261" s="25"/>
      <c r="G261" s="18" t="str">
        <f aca="false">IF(AND(D261="",F261=""),"",N(D261)-N(F261))</f>
        <v/>
      </c>
      <c r="H261" s="33"/>
      <c r="I261" s="34"/>
    </row>
    <row r="262" customFormat="false" ht="15" hidden="false" customHeight="false" outlineLevel="0" collapsed="false">
      <c r="A262" s="32"/>
      <c r="B262" s="29"/>
      <c r="C262" s="29"/>
      <c r="D262" s="25"/>
      <c r="E262" s="25"/>
      <c r="F262" s="25"/>
      <c r="G262" s="18" t="str">
        <f aca="false">IF(AND(D262="",F262=""),"",N(D262)-N(F262))</f>
        <v/>
      </c>
      <c r="H262" s="33"/>
      <c r="I262" s="34"/>
    </row>
    <row r="263" customFormat="false" ht="15" hidden="false" customHeight="false" outlineLevel="0" collapsed="false">
      <c r="A263" s="32"/>
      <c r="B263" s="29"/>
      <c r="C263" s="29"/>
      <c r="D263" s="25"/>
      <c r="E263" s="25"/>
      <c r="F263" s="25"/>
      <c r="G263" s="18" t="str">
        <f aca="false">IF(AND(D263="",F263=""),"",N(D263)-N(F263))</f>
        <v/>
      </c>
      <c r="H263" s="33"/>
      <c r="I263" s="34"/>
    </row>
    <row r="264" customFormat="false" ht="15" hidden="false" customHeight="false" outlineLevel="0" collapsed="false">
      <c r="A264" s="32"/>
      <c r="B264" s="29"/>
      <c r="C264" s="29"/>
      <c r="D264" s="25"/>
      <c r="E264" s="25"/>
      <c r="F264" s="25"/>
      <c r="G264" s="18" t="str">
        <f aca="false">IF(AND(D264="",F264=""),"",N(D264)-N(F264))</f>
        <v/>
      </c>
      <c r="H264" s="33"/>
      <c r="I264" s="34"/>
    </row>
    <row r="265" customFormat="false" ht="15" hidden="false" customHeight="false" outlineLevel="0" collapsed="false">
      <c r="A265" s="32"/>
      <c r="B265" s="29"/>
      <c r="C265" s="29"/>
      <c r="D265" s="25"/>
      <c r="E265" s="25"/>
      <c r="F265" s="25"/>
      <c r="G265" s="18" t="str">
        <f aca="false">IF(AND(D265="",F265=""),"",N(D265)-N(F265))</f>
        <v/>
      </c>
      <c r="H265" s="33"/>
      <c r="I265" s="34"/>
    </row>
    <row r="266" customFormat="false" ht="15" hidden="false" customHeight="false" outlineLevel="0" collapsed="false">
      <c r="A266" s="32"/>
      <c r="B266" s="29"/>
      <c r="C266" s="29"/>
      <c r="D266" s="25"/>
      <c r="E266" s="25"/>
      <c r="F266" s="25"/>
      <c r="G266" s="18" t="str">
        <f aca="false">IF(AND(D266="",F266=""),"",N(D266)-N(F266))</f>
        <v/>
      </c>
      <c r="H266" s="33"/>
      <c r="I266" s="34"/>
    </row>
    <row r="267" customFormat="false" ht="15" hidden="false" customHeight="false" outlineLevel="0" collapsed="false">
      <c r="A267" s="32"/>
      <c r="B267" s="29"/>
      <c r="C267" s="29"/>
      <c r="D267" s="25"/>
      <c r="E267" s="25"/>
      <c r="F267" s="25"/>
      <c r="G267" s="18" t="str">
        <f aca="false">IF(AND(D267="",F267=""),"",N(D267)-N(F267))</f>
        <v/>
      </c>
      <c r="H267" s="33"/>
      <c r="I267" s="34"/>
    </row>
    <row r="268" customFormat="false" ht="15" hidden="false" customHeight="false" outlineLevel="0" collapsed="false">
      <c r="A268" s="32"/>
      <c r="B268" s="29"/>
      <c r="C268" s="29"/>
      <c r="D268" s="25"/>
      <c r="E268" s="25"/>
      <c r="F268" s="25"/>
      <c r="G268" s="18" t="str">
        <f aca="false">IF(AND(D268="",F268=""),"",N(D268)-N(F268))</f>
        <v/>
      </c>
      <c r="H268" s="33"/>
      <c r="I268" s="34"/>
    </row>
    <row r="269" customFormat="false" ht="15" hidden="false" customHeight="false" outlineLevel="0" collapsed="false">
      <c r="A269" s="32"/>
      <c r="B269" s="29"/>
      <c r="C269" s="29"/>
      <c r="D269" s="25"/>
      <c r="E269" s="25"/>
      <c r="F269" s="25"/>
      <c r="G269" s="18" t="str">
        <f aca="false">IF(AND(D269="",F269=""),"",N(D269)-N(F269))</f>
        <v/>
      </c>
      <c r="H269" s="33"/>
      <c r="I269" s="34"/>
    </row>
    <row r="270" customFormat="false" ht="15" hidden="false" customHeight="false" outlineLevel="0" collapsed="false">
      <c r="A270" s="32"/>
      <c r="B270" s="29"/>
      <c r="C270" s="29"/>
      <c r="D270" s="25"/>
      <c r="E270" s="25"/>
      <c r="F270" s="25"/>
      <c r="G270" s="18" t="str">
        <f aca="false">IF(AND(D270="",F270=""),"",N(D270)-N(F270))</f>
        <v/>
      </c>
      <c r="H270" s="33"/>
      <c r="I270" s="34"/>
    </row>
    <row r="271" customFormat="false" ht="15" hidden="false" customHeight="false" outlineLevel="0" collapsed="false">
      <c r="A271" s="32"/>
      <c r="B271" s="29"/>
      <c r="C271" s="29"/>
      <c r="D271" s="25"/>
      <c r="E271" s="25"/>
      <c r="F271" s="25"/>
      <c r="G271" s="18" t="str">
        <f aca="false">IF(AND(D271="",F271=""),"",N(D271)-N(F271))</f>
        <v/>
      </c>
      <c r="H271" s="33"/>
      <c r="I271" s="34"/>
    </row>
    <row r="272" customFormat="false" ht="15" hidden="false" customHeight="false" outlineLevel="0" collapsed="false">
      <c r="A272" s="32"/>
      <c r="B272" s="29"/>
      <c r="C272" s="29"/>
      <c r="D272" s="25"/>
      <c r="E272" s="25"/>
      <c r="F272" s="25"/>
      <c r="G272" s="18" t="str">
        <f aca="false">IF(AND(D272="",F272=""),"",N(D272)-N(F272))</f>
        <v/>
      </c>
      <c r="H272" s="33"/>
      <c r="I272" s="34"/>
    </row>
    <row r="273" customFormat="false" ht="15" hidden="false" customHeight="false" outlineLevel="0" collapsed="false">
      <c r="A273" s="32"/>
      <c r="B273" s="29"/>
      <c r="C273" s="29"/>
      <c r="D273" s="25"/>
      <c r="E273" s="25"/>
      <c r="F273" s="25"/>
      <c r="G273" s="18" t="str">
        <f aca="false">IF(AND(D273="",F273=""),"",N(D273)-N(F273))</f>
        <v/>
      </c>
      <c r="H273" s="33"/>
      <c r="I273" s="34"/>
    </row>
    <row r="274" customFormat="false" ht="15" hidden="false" customHeight="false" outlineLevel="0" collapsed="false">
      <c r="A274" s="32"/>
      <c r="B274" s="29"/>
      <c r="C274" s="29"/>
      <c r="D274" s="25"/>
      <c r="E274" s="25"/>
      <c r="F274" s="25"/>
      <c r="G274" s="18" t="str">
        <f aca="false">IF(AND(D274="",F274=""),"",N(D274)-N(F274))</f>
        <v/>
      </c>
      <c r="H274" s="33"/>
      <c r="I274" s="34"/>
    </row>
    <row r="275" customFormat="false" ht="15" hidden="false" customHeight="false" outlineLevel="0" collapsed="false">
      <c r="A275" s="32"/>
      <c r="B275" s="29"/>
      <c r="C275" s="29"/>
      <c r="D275" s="25"/>
      <c r="E275" s="25"/>
      <c r="F275" s="25"/>
      <c r="G275" s="18" t="str">
        <f aca="false">IF(AND(D275="",F275=""),"",N(D275)-N(F275))</f>
        <v/>
      </c>
      <c r="H275" s="33"/>
      <c r="I275" s="34"/>
    </row>
    <row r="276" customFormat="false" ht="15" hidden="false" customHeight="false" outlineLevel="0" collapsed="false">
      <c r="A276" s="32"/>
      <c r="B276" s="29"/>
      <c r="C276" s="29"/>
      <c r="D276" s="25"/>
      <c r="E276" s="25"/>
      <c r="F276" s="25"/>
      <c r="G276" s="18" t="str">
        <f aca="false">IF(AND(D276="",F276=""),"",N(D276)-N(F276))</f>
        <v/>
      </c>
      <c r="H276" s="33"/>
      <c r="I276" s="34"/>
    </row>
    <row r="277" customFormat="false" ht="15" hidden="false" customHeight="false" outlineLevel="0" collapsed="false">
      <c r="A277" s="32"/>
      <c r="B277" s="29"/>
      <c r="C277" s="29"/>
      <c r="D277" s="25"/>
      <c r="E277" s="25"/>
      <c r="F277" s="25"/>
      <c r="G277" s="18" t="str">
        <f aca="false">IF(AND(D277="",F277=""),"",N(D277)-N(F277))</f>
        <v/>
      </c>
      <c r="H277" s="33"/>
      <c r="I277" s="34"/>
    </row>
    <row r="278" customFormat="false" ht="15" hidden="false" customHeight="false" outlineLevel="0" collapsed="false">
      <c r="A278" s="32"/>
      <c r="B278" s="29"/>
      <c r="C278" s="29"/>
      <c r="D278" s="25"/>
      <c r="E278" s="25"/>
      <c r="F278" s="25"/>
      <c r="G278" s="18" t="str">
        <f aca="false">IF(AND(D278="",F278=""),"",N(D278)-N(F278))</f>
        <v/>
      </c>
      <c r="H278" s="33"/>
      <c r="I278" s="34"/>
    </row>
    <row r="279" customFormat="false" ht="15" hidden="false" customHeight="false" outlineLevel="0" collapsed="false">
      <c r="A279" s="32"/>
      <c r="B279" s="29"/>
      <c r="C279" s="29"/>
      <c r="D279" s="25"/>
      <c r="E279" s="25"/>
      <c r="F279" s="25"/>
      <c r="G279" s="18" t="str">
        <f aca="false">IF(AND(D279="",F279=""),"",N(D279)-N(F279))</f>
        <v/>
      </c>
      <c r="H279" s="33"/>
      <c r="I279" s="34"/>
    </row>
    <row r="280" customFormat="false" ht="15" hidden="false" customHeight="false" outlineLevel="0" collapsed="false">
      <c r="A280" s="32"/>
      <c r="B280" s="29"/>
      <c r="C280" s="29"/>
      <c r="D280" s="25"/>
      <c r="E280" s="25"/>
      <c r="F280" s="25"/>
      <c r="G280" s="18" t="str">
        <f aca="false">IF(AND(D280="",F280=""),"",N(D280)-N(F280))</f>
        <v/>
      </c>
      <c r="H280" s="33"/>
      <c r="I280" s="34"/>
    </row>
    <row r="281" customFormat="false" ht="15" hidden="false" customHeight="false" outlineLevel="0" collapsed="false">
      <c r="A281" s="32"/>
      <c r="B281" s="29"/>
      <c r="C281" s="29"/>
      <c r="D281" s="25"/>
      <c r="E281" s="25"/>
      <c r="F281" s="25"/>
      <c r="G281" s="18" t="str">
        <f aca="false">IF(AND(D281="",F281=""),"",N(D281)-N(F281))</f>
        <v/>
      </c>
      <c r="H281" s="33"/>
      <c r="I281" s="34"/>
    </row>
    <row r="282" customFormat="false" ht="15" hidden="false" customHeight="false" outlineLevel="0" collapsed="false">
      <c r="A282" s="32"/>
      <c r="B282" s="29"/>
      <c r="C282" s="29"/>
      <c r="D282" s="25"/>
      <c r="E282" s="25"/>
      <c r="F282" s="25"/>
      <c r="G282" s="18" t="str">
        <f aca="false">IF(AND(D282="",F282=""),"",N(D282)-N(F282))</f>
        <v/>
      </c>
      <c r="H282" s="33"/>
      <c r="I282" s="34"/>
    </row>
    <row r="283" customFormat="false" ht="15" hidden="false" customHeight="false" outlineLevel="0" collapsed="false">
      <c r="A283" s="32"/>
      <c r="B283" s="29"/>
      <c r="C283" s="29"/>
      <c r="D283" s="25"/>
      <c r="E283" s="25"/>
      <c r="F283" s="25"/>
      <c r="G283" s="18" t="str">
        <f aca="false">IF(AND(D283="",F283=""),"",N(D283)-N(F283))</f>
        <v/>
      </c>
      <c r="H283" s="33"/>
      <c r="I283" s="34"/>
    </row>
    <row r="284" customFormat="false" ht="15" hidden="false" customHeight="false" outlineLevel="0" collapsed="false">
      <c r="A284" s="32"/>
      <c r="B284" s="29"/>
      <c r="C284" s="29"/>
      <c r="D284" s="25"/>
      <c r="E284" s="25"/>
      <c r="F284" s="25"/>
      <c r="G284" s="18" t="str">
        <f aca="false">IF(AND(D284="",F284=""),"",N(D284)-N(F284))</f>
        <v/>
      </c>
      <c r="H284" s="33"/>
      <c r="I284" s="34"/>
    </row>
    <row r="285" customFormat="false" ht="15" hidden="false" customHeight="false" outlineLevel="0" collapsed="false">
      <c r="A285" s="32"/>
      <c r="B285" s="29"/>
      <c r="C285" s="29"/>
      <c r="D285" s="25"/>
      <c r="E285" s="25"/>
      <c r="F285" s="25"/>
      <c r="G285" s="18" t="str">
        <f aca="false">IF(AND(D285="",F285=""),"",N(D285)-N(F285))</f>
        <v/>
      </c>
      <c r="H285" s="33"/>
      <c r="I285" s="34"/>
    </row>
    <row r="286" customFormat="false" ht="15" hidden="false" customHeight="false" outlineLevel="0" collapsed="false">
      <c r="A286" s="32"/>
      <c r="B286" s="29"/>
      <c r="C286" s="29"/>
      <c r="D286" s="25"/>
      <c r="E286" s="25"/>
      <c r="F286" s="25"/>
      <c r="G286" s="18" t="str">
        <f aca="false">IF(AND(D286="",F286=""),"",N(D286)-N(F286))</f>
        <v/>
      </c>
      <c r="H286" s="33"/>
      <c r="I286" s="34"/>
    </row>
    <row r="287" customFormat="false" ht="15" hidden="false" customHeight="false" outlineLevel="0" collapsed="false">
      <c r="A287" s="32"/>
      <c r="B287" s="29"/>
      <c r="C287" s="29"/>
      <c r="D287" s="25"/>
      <c r="E287" s="25"/>
      <c r="F287" s="25"/>
      <c r="G287" s="18" t="str">
        <f aca="false">IF(AND(D287="",F287=""),"",N(D287)-N(F287))</f>
        <v/>
      </c>
      <c r="H287" s="33"/>
      <c r="I287" s="34"/>
    </row>
    <row r="288" customFormat="false" ht="15" hidden="false" customHeight="false" outlineLevel="0" collapsed="false">
      <c r="A288" s="32"/>
      <c r="B288" s="29"/>
      <c r="C288" s="29"/>
      <c r="D288" s="25"/>
      <c r="E288" s="25"/>
      <c r="F288" s="25"/>
      <c r="G288" s="18" t="str">
        <f aca="false">IF(AND(D288="",F288=""),"",N(D288)-N(F288))</f>
        <v/>
      </c>
      <c r="H288" s="33"/>
      <c r="I288" s="34"/>
    </row>
    <row r="289" customFormat="false" ht="15" hidden="false" customHeight="false" outlineLevel="0" collapsed="false">
      <c r="A289" s="32"/>
      <c r="B289" s="29"/>
      <c r="C289" s="29"/>
      <c r="D289" s="25"/>
      <c r="E289" s="25"/>
      <c r="F289" s="25"/>
      <c r="G289" s="18" t="str">
        <f aca="false">IF(AND(D289="",F289=""),"",N(D289)-N(F289))</f>
        <v/>
      </c>
      <c r="H289" s="33"/>
      <c r="I289" s="34"/>
    </row>
    <row r="290" customFormat="false" ht="15" hidden="false" customHeight="false" outlineLevel="0" collapsed="false">
      <c r="A290" s="32"/>
      <c r="B290" s="29"/>
      <c r="C290" s="29"/>
      <c r="D290" s="25"/>
      <c r="E290" s="25"/>
      <c r="F290" s="25"/>
      <c r="G290" s="18" t="str">
        <f aca="false">IF(AND(D290="",F290=""),"",N(D290)-N(F290))</f>
        <v/>
      </c>
      <c r="H290" s="33"/>
      <c r="I290" s="34"/>
    </row>
    <row r="291" customFormat="false" ht="15" hidden="false" customHeight="false" outlineLevel="0" collapsed="false">
      <c r="A291" s="32"/>
      <c r="B291" s="29"/>
      <c r="C291" s="29"/>
      <c r="D291" s="25"/>
      <c r="E291" s="25"/>
      <c r="F291" s="25"/>
      <c r="G291" s="18" t="str">
        <f aca="false">IF(AND(D291="",F291=""),"",N(D291)-N(F291))</f>
        <v/>
      </c>
      <c r="H291" s="33"/>
      <c r="I291" s="34"/>
    </row>
    <row r="292" customFormat="false" ht="15" hidden="false" customHeight="false" outlineLevel="0" collapsed="false">
      <c r="A292" s="32"/>
      <c r="B292" s="29"/>
      <c r="C292" s="29"/>
      <c r="D292" s="25"/>
      <c r="E292" s="25"/>
      <c r="F292" s="25"/>
      <c r="G292" s="18" t="str">
        <f aca="false">IF(AND(D292="",F292=""),"",N(D292)-N(F292))</f>
        <v/>
      </c>
      <c r="H292" s="33"/>
      <c r="I292" s="34"/>
    </row>
    <row r="293" customFormat="false" ht="15" hidden="false" customHeight="false" outlineLevel="0" collapsed="false">
      <c r="A293" s="32"/>
      <c r="B293" s="29"/>
      <c r="C293" s="29"/>
      <c r="D293" s="25"/>
      <c r="E293" s="25"/>
      <c r="F293" s="25"/>
      <c r="G293" s="18" t="str">
        <f aca="false">IF(AND(D293="",F293=""),"",N(D293)-N(F293))</f>
        <v/>
      </c>
      <c r="H293" s="33"/>
      <c r="I293" s="34"/>
    </row>
    <row r="294" customFormat="false" ht="15" hidden="false" customHeight="false" outlineLevel="0" collapsed="false">
      <c r="A294" s="32"/>
      <c r="B294" s="29"/>
      <c r="C294" s="29"/>
      <c r="D294" s="25"/>
      <c r="E294" s="25"/>
      <c r="F294" s="25"/>
      <c r="G294" s="18" t="str">
        <f aca="false">IF(AND(D294="",F294=""),"",N(D294)-N(F294))</f>
        <v/>
      </c>
      <c r="H294" s="33"/>
      <c r="I294" s="34"/>
    </row>
    <row r="295" customFormat="false" ht="15" hidden="false" customHeight="false" outlineLevel="0" collapsed="false">
      <c r="A295" s="32"/>
      <c r="B295" s="29"/>
      <c r="C295" s="29"/>
      <c r="D295" s="25"/>
      <c r="E295" s="25"/>
      <c r="F295" s="25"/>
      <c r="G295" s="18" t="str">
        <f aca="false">IF(AND(D295="",F295=""),"",N(D295)-N(F295))</f>
        <v/>
      </c>
      <c r="H295" s="33"/>
      <c r="I295" s="34"/>
    </row>
    <row r="296" customFormat="false" ht="15" hidden="false" customHeight="false" outlineLevel="0" collapsed="false">
      <c r="A296" s="32"/>
      <c r="B296" s="29"/>
      <c r="C296" s="29"/>
      <c r="D296" s="25"/>
      <c r="E296" s="25"/>
      <c r="F296" s="25"/>
      <c r="G296" s="18" t="str">
        <f aca="false">IF(AND(D296="",F296=""),"",N(D296)-N(F296))</f>
        <v/>
      </c>
      <c r="H296" s="33"/>
      <c r="I296" s="34"/>
    </row>
    <row r="297" customFormat="false" ht="15" hidden="false" customHeight="false" outlineLevel="0" collapsed="false">
      <c r="A297" s="32"/>
      <c r="B297" s="29"/>
      <c r="C297" s="29"/>
      <c r="D297" s="25"/>
      <c r="E297" s="25"/>
      <c r="F297" s="25"/>
      <c r="G297" s="18" t="str">
        <f aca="false">IF(AND(D297="",F297=""),"",N(D297)-N(F297))</f>
        <v/>
      </c>
      <c r="H297" s="33"/>
      <c r="I297" s="34"/>
    </row>
    <row r="298" customFormat="false" ht="15" hidden="false" customHeight="false" outlineLevel="0" collapsed="false">
      <c r="A298" s="32"/>
      <c r="B298" s="29"/>
      <c r="C298" s="29"/>
      <c r="D298" s="25"/>
      <c r="E298" s="25"/>
      <c r="F298" s="25"/>
      <c r="G298" s="18" t="str">
        <f aca="false">IF(AND(D298="",F298=""),"",N(D298)-N(F298))</f>
        <v/>
      </c>
      <c r="H298" s="33"/>
      <c r="I298" s="34"/>
    </row>
    <row r="299" customFormat="false" ht="15" hidden="false" customHeight="false" outlineLevel="0" collapsed="false">
      <c r="A299" s="32"/>
      <c r="B299" s="29"/>
      <c r="C299" s="29"/>
      <c r="D299" s="25"/>
      <c r="E299" s="25"/>
      <c r="F299" s="25"/>
      <c r="G299" s="18" t="str">
        <f aca="false">IF(AND(D299="",F299=""),"",N(D299)-N(F299))</f>
        <v/>
      </c>
      <c r="H299" s="33"/>
      <c r="I299" s="34"/>
    </row>
    <row r="300" customFormat="false" ht="15" hidden="false" customHeight="false" outlineLevel="0" collapsed="false">
      <c r="A300" s="32"/>
      <c r="B300" s="29"/>
      <c r="C300" s="29"/>
      <c r="D300" s="25"/>
      <c r="E300" s="25"/>
      <c r="F300" s="25"/>
      <c r="G300" s="18" t="str">
        <f aca="false">IF(AND(D300="",F300=""),"",N(D300)-N(F300))</f>
        <v/>
      </c>
      <c r="H300" s="33"/>
      <c r="I300" s="34"/>
    </row>
    <row r="301" customFormat="false" ht="15" hidden="false" customHeight="false" outlineLevel="0" collapsed="false">
      <c r="A301" s="32"/>
      <c r="B301" s="29"/>
      <c r="C301" s="29"/>
      <c r="D301" s="25"/>
      <c r="E301" s="25"/>
      <c r="F301" s="25"/>
      <c r="G301" s="18" t="str">
        <f aca="false">IF(AND(D301="",F301=""),"",N(D301)-N(F301))</f>
        <v/>
      </c>
      <c r="H301" s="33"/>
      <c r="I301" s="34"/>
    </row>
    <row r="302" customFormat="false" ht="15" hidden="false" customHeight="false" outlineLevel="0" collapsed="false">
      <c r="A302" s="32"/>
      <c r="B302" s="29"/>
      <c r="C302" s="29"/>
      <c r="D302" s="25"/>
      <c r="E302" s="25"/>
      <c r="F302" s="25"/>
      <c r="G302" s="18" t="str">
        <f aca="false">IF(AND(D302="",F302=""),"",N(D302)-N(F302))</f>
        <v/>
      </c>
      <c r="H302" s="33"/>
      <c r="I302" s="34"/>
    </row>
    <row r="303" customFormat="false" ht="15" hidden="false" customHeight="false" outlineLevel="0" collapsed="false">
      <c r="A303" s="32"/>
      <c r="B303" s="29"/>
      <c r="C303" s="29"/>
      <c r="D303" s="25"/>
      <c r="E303" s="25"/>
      <c r="F303" s="25"/>
      <c r="G303" s="18" t="str">
        <f aca="false">IF(AND(D303="",F303=""),"",N(D303)-N(F303))</f>
        <v/>
      </c>
      <c r="H303" s="33"/>
      <c r="I303" s="34"/>
    </row>
    <row r="304" customFormat="false" ht="15" hidden="false" customHeight="false" outlineLevel="0" collapsed="false">
      <c r="A304" s="32"/>
      <c r="B304" s="29"/>
      <c r="C304" s="29"/>
      <c r="D304" s="25"/>
      <c r="E304" s="25"/>
      <c r="F304" s="25"/>
      <c r="G304" s="18" t="str">
        <f aca="false">IF(AND(D304="",F304=""),"",N(D304)-N(F304))</f>
        <v/>
      </c>
      <c r="H304" s="33"/>
      <c r="I304" s="34"/>
    </row>
    <row r="305" customFormat="false" ht="15" hidden="false" customHeight="false" outlineLevel="0" collapsed="false">
      <c r="A305" s="32"/>
      <c r="B305" s="29"/>
      <c r="C305" s="29"/>
      <c r="D305" s="25"/>
      <c r="E305" s="25"/>
      <c r="F305" s="25"/>
      <c r="G305" s="18" t="str">
        <f aca="false">IF(AND(D305="",F305=""),"",N(D305)-N(F305))</f>
        <v/>
      </c>
      <c r="H305" s="33"/>
      <c r="I305" s="34"/>
    </row>
    <row r="306" customFormat="false" ht="15" hidden="false" customHeight="false" outlineLevel="0" collapsed="false">
      <c r="A306" s="32"/>
      <c r="B306" s="29"/>
      <c r="C306" s="29"/>
      <c r="D306" s="25"/>
      <c r="E306" s="25"/>
      <c r="F306" s="25"/>
      <c r="G306" s="18" t="str">
        <f aca="false">IF(AND(D306="",F306=""),"",N(D306)-N(F306))</f>
        <v/>
      </c>
      <c r="H306" s="33"/>
      <c r="I306" s="34"/>
    </row>
    <row r="307" customFormat="false" ht="15" hidden="false" customHeight="false" outlineLevel="0" collapsed="false">
      <c r="A307" s="32"/>
      <c r="B307" s="29"/>
      <c r="C307" s="29"/>
      <c r="D307" s="25"/>
      <c r="E307" s="25"/>
      <c r="F307" s="25"/>
      <c r="G307" s="18" t="str">
        <f aca="false">IF(AND(D307="",F307=""),"",N(D307)-N(F307))</f>
        <v/>
      </c>
      <c r="H307" s="33"/>
      <c r="I307" s="34"/>
    </row>
    <row r="308" customFormat="false" ht="15" hidden="false" customHeight="false" outlineLevel="0" collapsed="false">
      <c r="A308" s="32"/>
      <c r="B308" s="29"/>
      <c r="C308" s="29"/>
      <c r="D308" s="25"/>
      <c r="E308" s="25"/>
      <c r="F308" s="25"/>
      <c r="G308" s="18" t="str">
        <f aca="false">IF(AND(D308="",F308=""),"",N(D308)-N(F308))</f>
        <v/>
      </c>
      <c r="H308" s="33"/>
      <c r="I308" s="34"/>
    </row>
    <row r="309" customFormat="false" ht="15" hidden="false" customHeight="false" outlineLevel="0" collapsed="false">
      <c r="A309" s="32"/>
      <c r="B309" s="29"/>
      <c r="C309" s="29"/>
      <c r="D309" s="25"/>
      <c r="E309" s="25"/>
      <c r="F309" s="25"/>
      <c r="G309" s="18" t="str">
        <f aca="false">IF(AND(D309="",F309=""),"",N(D309)-N(F309))</f>
        <v/>
      </c>
      <c r="H309" s="33"/>
      <c r="I309" s="34"/>
    </row>
    <row r="310" customFormat="false" ht="15" hidden="false" customHeight="false" outlineLevel="0" collapsed="false">
      <c r="A310" s="32"/>
      <c r="B310" s="29"/>
      <c r="C310" s="29"/>
      <c r="D310" s="25"/>
      <c r="E310" s="25"/>
      <c r="F310" s="25"/>
      <c r="G310" s="18" t="str">
        <f aca="false">IF(AND(D310="",F310=""),"",N(D310)-N(F310))</f>
        <v/>
      </c>
      <c r="H310" s="33"/>
      <c r="I310" s="34"/>
    </row>
    <row r="311" customFormat="false" ht="15" hidden="false" customHeight="false" outlineLevel="0" collapsed="false">
      <c r="A311" s="32"/>
      <c r="B311" s="29"/>
      <c r="C311" s="29"/>
      <c r="D311" s="25"/>
      <c r="E311" s="25"/>
      <c r="F311" s="25"/>
      <c r="G311" s="18" t="str">
        <f aca="false">IF(AND(D311="",F311=""),"",N(D311)-N(F311))</f>
        <v/>
      </c>
      <c r="H311" s="33"/>
      <c r="I311" s="34"/>
    </row>
    <row r="312" customFormat="false" ht="15" hidden="false" customHeight="false" outlineLevel="0" collapsed="false">
      <c r="A312" s="32"/>
      <c r="B312" s="29"/>
      <c r="C312" s="29"/>
      <c r="D312" s="25"/>
      <c r="E312" s="25"/>
      <c r="F312" s="25"/>
      <c r="G312" s="18" t="str">
        <f aca="false">IF(AND(D312="",F312=""),"",N(D312)-N(F312))</f>
        <v/>
      </c>
      <c r="H312" s="33"/>
      <c r="I312" s="34"/>
    </row>
    <row r="313" customFormat="false" ht="15" hidden="false" customHeight="false" outlineLevel="0" collapsed="false">
      <c r="A313" s="32"/>
      <c r="B313" s="29"/>
      <c r="C313" s="29"/>
      <c r="D313" s="25"/>
      <c r="E313" s="25"/>
      <c r="F313" s="25"/>
      <c r="G313" s="18" t="str">
        <f aca="false">IF(AND(D313="",F313=""),"",N(D313)-N(F313))</f>
        <v/>
      </c>
      <c r="H313" s="33"/>
      <c r="I313" s="34"/>
    </row>
    <row r="314" customFormat="false" ht="15" hidden="false" customHeight="false" outlineLevel="0" collapsed="false">
      <c r="A314" s="32"/>
      <c r="B314" s="29"/>
      <c r="C314" s="29"/>
      <c r="D314" s="25"/>
      <c r="E314" s="25"/>
      <c r="F314" s="25"/>
      <c r="G314" s="18" t="str">
        <f aca="false">IF(AND(D314="",F314=""),"",N(D314)-N(F314))</f>
        <v/>
      </c>
      <c r="H314" s="33"/>
      <c r="I314" s="34"/>
    </row>
    <row r="315" customFormat="false" ht="15" hidden="false" customHeight="false" outlineLevel="0" collapsed="false">
      <c r="A315" s="32"/>
      <c r="B315" s="29"/>
      <c r="C315" s="29"/>
      <c r="D315" s="25"/>
      <c r="E315" s="25"/>
      <c r="F315" s="25"/>
      <c r="G315" s="18" t="str">
        <f aca="false">IF(AND(D315="",F315=""),"",N(D315)-N(F315))</f>
        <v/>
      </c>
      <c r="H315" s="33"/>
      <c r="I315" s="34"/>
    </row>
    <row r="316" customFormat="false" ht="15" hidden="false" customHeight="false" outlineLevel="0" collapsed="false">
      <c r="A316" s="32"/>
      <c r="B316" s="29"/>
      <c r="C316" s="29"/>
      <c r="D316" s="25"/>
      <c r="E316" s="25"/>
      <c r="F316" s="25"/>
      <c r="G316" s="18" t="str">
        <f aca="false">IF(AND(D316="",F316=""),"",N(D316)-N(F316))</f>
        <v/>
      </c>
      <c r="H316" s="33"/>
      <c r="I316" s="34"/>
    </row>
    <row r="317" customFormat="false" ht="15" hidden="false" customHeight="false" outlineLevel="0" collapsed="false">
      <c r="A317" s="32"/>
      <c r="B317" s="29"/>
      <c r="C317" s="29"/>
      <c r="D317" s="25"/>
      <c r="E317" s="25"/>
      <c r="F317" s="25"/>
      <c r="G317" s="18" t="str">
        <f aca="false">IF(AND(D317="",F317=""),"",N(D317)-N(F317))</f>
        <v/>
      </c>
      <c r="H317" s="33"/>
      <c r="I317" s="34"/>
    </row>
    <row r="318" customFormat="false" ht="15" hidden="false" customHeight="false" outlineLevel="0" collapsed="false">
      <c r="A318" s="32"/>
      <c r="B318" s="29"/>
      <c r="C318" s="29"/>
      <c r="D318" s="25"/>
      <c r="E318" s="25"/>
      <c r="F318" s="25"/>
      <c r="G318" s="18" t="str">
        <f aca="false">IF(AND(D318="",F318=""),"",N(D318)-N(F318))</f>
        <v/>
      </c>
      <c r="H318" s="33"/>
      <c r="I318" s="34"/>
    </row>
    <row r="319" customFormat="false" ht="15" hidden="false" customHeight="false" outlineLevel="0" collapsed="false">
      <c r="A319" s="32"/>
      <c r="B319" s="29"/>
      <c r="C319" s="29"/>
      <c r="D319" s="25"/>
      <c r="E319" s="25"/>
      <c r="F319" s="25"/>
      <c r="G319" s="18" t="str">
        <f aca="false">IF(AND(D319="",F319=""),"",N(D319)-N(F319))</f>
        <v/>
      </c>
      <c r="H319" s="33"/>
      <c r="I319" s="34"/>
    </row>
    <row r="320" customFormat="false" ht="15" hidden="false" customHeight="false" outlineLevel="0" collapsed="false">
      <c r="A320" s="32"/>
      <c r="B320" s="29"/>
      <c r="C320" s="29"/>
      <c r="D320" s="25"/>
      <c r="E320" s="25"/>
      <c r="F320" s="25"/>
      <c r="G320" s="18" t="str">
        <f aca="false">IF(AND(D320="",F320=""),"",N(D320)-N(F320))</f>
        <v/>
      </c>
      <c r="H320" s="33"/>
      <c r="I320" s="34"/>
    </row>
    <row r="321" customFormat="false" ht="15" hidden="false" customHeight="false" outlineLevel="0" collapsed="false">
      <c r="A321" s="32"/>
      <c r="B321" s="29"/>
      <c r="C321" s="29"/>
      <c r="D321" s="25"/>
      <c r="E321" s="25"/>
      <c r="F321" s="25"/>
      <c r="G321" s="18" t="str">
        <f aca="false">IF(AND(D321="",F321=""),"",N(D321)-N(F321))</f>
        <v/>
      </c>
      <c r="H321" s="33"/>
      <c r="I321" s="34"/>
    </row>
    <row r="322" customFormat="false" ht="15" hidden="false" customHeight="false" outlineLevel="0" collapsed="false">
      <c r="A322" s="32"/>
      <c r="B322" s="29"/>
      <c r="C322" s="29"/>
      <c r="D322" s="25"/>
      <c r="E322" s="25"/>
      <c r="F322" s="25"/>
      <c r="G322" s="18" t="str">
        <f aca="false">IF(AND(D322="",F322=""),"",N(D322)-N(F322))</f>
        <v/>
      </c>
      <c r="H322" s="33"/>
      <c r="I322" s="34"/>
    </row>
    <row r="323" customFormat="false" ht="15" hidden="false" customHeight="false" outlineLevel="0" collapsed="false">
      <c r="A323" s="32"/>
      <c r="B323" s="29"/>
      <c r="C323" s="29"/>
      <c r="D323" s="25"/>
      <c r="E323" s="25"/>
      <c r="F323" s="25"/>
      <c r="G323" s="18" t="str">
        <f aca="false">IF(AND(D323="",F323=""),"",N(D323)-N(F323))</f>
        <v/>
      </c>
      <c r="H323" s="33"/>
      <c r="I323" s="34"/>
    </row>
    <row r="324" customFormat="false" ht="15" hidden="false" customHeight="false" outlineLevel="0" collapsed="false">
      <c r="A324" s="32"/>
      <c r="B324" s="29"/>
      <c r="C324" s="29"/>
      <c r="D324" s="25"/>
      <c r="E324" s="25"/>
      <c r="F324" s="25"/>
      <c r="G324" s="18" t="str">
        <f aca="false">IF(AND(D324="",F324=""),"",N(D324)-N(F324))</f>
        <v/>
      </c>
      <c r="H324" s="33"/>
      <c r="I324" s="34"/>
    </row>
    <row r="325" customFormat="false" ht="15" hidden="false" customHeight="false" outlineLevel="0" collapsed="false">
      <c r="A325" s="32"/>
      <c r="B325" s="29"/>
      <c r="C325" s="29"/>
      <c r="D325" s="25"/>
      <c r="E325" s="25"/>
      <c r="F325" s="25"/>
      <c r="G325" s="18" t="str">
        <f aca="false">IF(AND(D325="",F325=""),"",N(D325)-N(F325))</f>
        <v/>
      </c>
      <c r="H325" s="33"/>
      <c r="I325" s="34"/>
    </row>
    <row r="326" customFormat="false" ht="15" hidden="false" customHeight="false" outlineLevel="0" collapsed="false">
      <c r="A326" s="32"/>
      <c r="B326" s="29"/>
      <c r="C326" s="29"/>
      <c r="D326" s="25"/>
      <c r="E326" s="25"/>
      <c r="F326" s="25"/>
      <c r="G326" s="18" t="str">
        <f aca="false">IF(AND(D326="",F326=""),"",N(D326)-N(F326))</f>
        <v/>
      </c>
      <c r="H326" s="33"/>
      <c r="I326" s="34"/>
    </row>
    <row r="327" customFormat="false" ht="15" hidden="false" customHeight="false" outlineLevel="0" collapsed="false">
      <c r="A327" s="32"/>
      <c r="B327" s="29"/>
      <c r="C327" s="29"/>
      <c r="D327" s="25"/>
      <c r="E327" s="25"/>
      <c r="F327" s="25"/>
      <c r="G327" s="18" t="str">
        <f aca="false">IF(AND(D327="",F327=""),"",N(D327)-N(F327))</f>
        <v/>
      </c>
      <c r="H327" s="33"/>
      <c r="I327" s="34"/>
    </row>
    <row r="328" customFormat="false" ht="15" hidden="false" customHeight="false" outlineLevel="0" collapsed="false">
      <c r="A328" s="32"/>
      <c r="B328" s="29"/>
      <c r="C328" s="29"/>
      <c r="D328" s="25"/>
      <c r="E328" s="25"/>
      <c r="F328" s="25"/>
      <c r="G328" s="18" t="str">
        <f aca="false">IF(AND(D328="",F328=""),"",N(D328)-N(F328))</f>
        <v/>
      </c>
      <c r="H328" s="33"/>
      <c r="I328" s="34"/>
    </row>
    <row r="329" customFormat="false" ht="15" hidden="false" customHeight="false" outlineLevel="0" collapsed="false">
      <c r="A329" s="32"/>
      <c r="B329" s="29"/>
      <c r="C329" s="29"/>
      <c r="D329" s="25"/>
      <c r="E329" s="25"/>
      <c r="F329" s="25"/>
      <c r="G329" s="18" t="str">
        <f aca="false">IF(AND(D329="",F329=""),"",N(D329)-N(F329))</f>
        <v/>
      </c>
      <c r="H329" s="33"/>
      <c r="I329" s="34"/>
    </row>
    <row r="330" customFormat="false" ht="15" hidden="false" customHeight="false" outlineLevel="0" collapsed="false">
      <c r="A330" s="32"/>
      <c r="B330" s="29"/>
      <c r="C330" s="29"/>
      <c r="D330" s="25"/>
      <c r="E330" s="25"/>
      <c r="F330" s="25"/>
      <c r="G330" s="18" t="str">
        <f aca="false">IF(AND(D330="",F330=""),"",N(D330)-N(F330))</f>
        <v/>
      </c>
      <c r="H330" s="33"/>
      <c r="I330" s="34"/>
    </row>
    <row r="331" customFormat="false" ht="15" hidden="false" customHeight="false" outlineLevel="0" collapsed="false">
      <c r="A331" s="32"/>
      <c r="B331" s="29"/>
      <c r="C331" s="29"/>
      <c r="D331" s="25"/>
      <c r="E331" s="25"/>
      <c r="F331" s="25"/>
      <c r="G331" s="18" t="str">
        <f aca="false">IF(AND(D331="",F331=""),"",N(D331)-N(F331))</f>
        <v/>
      </c>
      <c r="H331" s="33"/>
      <c r="I331" s="34"/>
    </row>
    <row r="332" customFormat="false" ht="15" hidden="false" customHeight="false" outlineLevel="0" collapsed="false">
      <c r="A332" s="32"/>
      <c r="B332" s="29"/>
      <c r="C332" s="29"/>
      <c r="D332" s="25"/>
      <c r="E332" s="25"/>
      <c r="F332" s="25"/>
      <c r="G332" s="18" t="str">
        <f aca="false">IF(AND(D332="",F332=""),"",N(D332)-N(F332))</f>
        <v/>
      </c>
      <c r="H332" s="33"/>
      <c r="I332" s="34"/>
    </row>
    <row r="333" customFormat="false" ht="15" hidden="false" customHeight="false" outlineLevel="0" collapsed="false">
      <c r="A333" s="32"/>
      <c r="B333" s="29"/>
      <c r="C333" s="29"/>
      <c r="D333" s="25"/>
      <c r="E333" s="25"/>
      <c r="F333" s="25"/>
      <c r="G333" s="18" t="str">
        <f aca="false">IF(AND(D333="",F333=""),"",N(D333)-N(F333))</f>
        <v/>
      </c>
      <c r="H333" s="33"/>
      <c r="I333" s="34"/>
    </row>
    <row r="334" customFormat="false" ht="15" hidden="false" customHeight="false" outlineLevel="0" collapsed="false">
      <c r="A334" s="32"/>
      <c r="B334" s="29"/>
      <c r="C334" s="29"/>
      <c r="D334" s="25"/>
      <c r="E334" s="25"/>
      <c r="F334" s="25"/>
      <c r="G334" s="18" t="str">
        <f aca="false">IF(AND(D334="",F334=""),"",N(D334)-N(F334))</f>
        <v/>
      </c>
      <c r="H334" s="33"/>
      <c r="I334" s="34"/>
    </row>
    <row r="335" customFormat="false" ht="15" hidden="false" customHeight="false" outlineLevel="0" collapsed="false">
      <c r="A335" s="32"/>
      <c r="B335" s="29"/>
      <c r="C335" s="29"/>
      <c r="D335" s="25"/>
      <c r="E335" s="25"/>
      <c r="F335" s="25"/>
      <c r="G335" s="18" t="str">
        <f aca="false">IF(AND(D335="",F335=""),"",N(D335)-N(F335))</f>
        <v/>
      </c>
      <c r="H335" s="33"/>
      <c r="I335" s="34"/>
    </row>
    <row r="336" customFormat="false" ht="15" hidden="false" customHeight="false" outlineLevel="0" collapsed="false">
      <c r="A336" s="32"/>
      <c r="B336" s="29"/>
      <c r="C336" s="29"/>
      <c r="D336" s="25"/>
      <c r="E336" s="25"/>
      <c r="F336" s="25"/>
      <c r="G336" s="18" t="str">
        <f aca="false">IF(AND(D336="",F336=""),"",N(D336)-N(F336))</f>
        <v/>
      </c>
      <c r="H336" s="33"/>
      <c r="I336" s="34"/>
    </row>
    <row r="337" customFormat="false" ht="15" hidden="false" customHeight="false" outlineLevel="0" collapsed="false">
      <c r="A337" s="32"/>
      <c r="B337" s="29"/>
      <c r="C337" s="29"/>
      <c r="D337" s="25"/>
      <c r="E337" s="25"/>
      <c r="F337" s="25"/>
      <c r="G337" s="18" t="str">
        <f aca="false">IF(AND(D337="",F337=""),"",N(D337)-N(F337))</f>
        <v/>
      </c>
      <c r="H337" s="33"/>
      <c r="I337" s="34"/>
    </row>
    <row r="338" customFormat="false" ht="15" hidden="false" customHeight="false" outlineLevel="0" collapsed="false">
      <c r="A338" s="32"/>
      <c r="B338" s="29"/>
      <c r="C338" s="29"/>
      <c r="D338" s="25"/>
      <c r="E338" s="25"/>
      <c r="F338" s="25"/>
      <c r="G338" s="18" t="str">
        <f aca="false">IF(AND(D338="",F338=""),"",N(D338)-N(F338))</f>
        <v/>
      </c>
      <c r="H338" s="33"/>
      <c r="I338" s="34"/>
    </row>
    <row r="339" customFormat="false" ht="15" hidden="false" customHeight="false" outlineLevel="0" collapsed="false">
      <c r="A339" s="32"/>
      <c r="B339" s="29"/>
      <c r="C339" s="29"/>
      <c r="D339" s="25"/>
      <c r="E339" s="25"/>
      <c r="F339" s="25"/>
      <c r="G339" s="18" t="str">
        <f aca="false">IF(AND(D339="",F339=""),"",N(D339)-N(F339))</f>
        <v/>
      </c>
      <c r="H339" s="33"/>
      <c r="I339" s="34"/>
    </row>
    <row r="340" customFormat="false" ht="15" hidden="false" customHeight="false" outlineLevel="0" collapsed="false">
      <c r="A340" s="32"/>
      <c r="B340" s="29"/>
      <c r="C340" s="29"/>
      <c r="D340" s="25"/>
      <c r="E340" s="25"/>
      <c r="F340" s="25"/>
      <c r="G340" s="18" t="str">
        <f aca="false">IF(AND(D340="",F340=""),"",N(D340)-N(F340))</f>
        <v/>
      </c>
      <c r="H340" s="33"/>
      <c r="I340" s="34"/>
    </row>
    <row r="341" customFormat="false" ht="15" hidden="false" customHeight="false" outlineLevel="0" collapsed="false">
      <c r="A341" s="32"/>
      <c r="B341" s="29"/>
      <c r="C341" s="29"/>
      <c r="D341" s="25"/>
      <c r="E341" s="25"/>
      <c r="F341" s="25"/>
      <c r="G341" s="18" t="str">
        <f aca="false">IF(AND(D341="",F341=""),"",N(D341)-N(F341))</f>
        <v/>
      </c>
      <c r="H341" s="33"/>
      <c r="I341" s="34"/>
    </row>
    <row r="342" customFormat="false" ht="15" hidden="false" customHeight="false" outlineLevel="0" collapsed="false">
      <c r="A342" s="32"/>
      <c r="B342" s="29"/>
      <c r="C342" s="29"/>
      <c r="D342" s="25"/>
      <c r="E342" s="25"/>
      <c r="F342" s="25"/>
      <c r="G342" s="18" t="str">
        <f aca="false">IF(AND(D342="",F342=""),"",N(D342)-N(F342))</f>
        <v/>
      </c>
      <c r="H342" s="33"/>
      <c r="I342" s="34"/>
    </row>
    <row r="343" customFormat="false" ht="15" hidden="false" customHeight="false" outlineLevel="0" collapsed="false">
      <c r="A343" s="32"/>
      <c r="B343" s="29"/>
      <c r="C343" s="29"/>
      <c r="D343" s="25"/>
      <c r="E343" s="25"/>
      <c r="F343" s="25"/>
      <c r="G343" s="18" t="str">
        <f aca="false">IF(AND(D343="",F343=""),"",N(D343)-N(F343))</f>
        <v/>
      </c>
      <c r="H343" s="33"/>
      <c r="I343" s="34"/>
    </row>
    <row r="344" customFormat="false" ht="15" hidden="false" customHeight="false" outlineLevel="0" collapsed="false">
      <c r="A344" s="32"/>
      <c r="B344" s="29"/>
      <c r="C344" s="29"/>
      <c r="D344" s="25"/>
      <c r="E344" s="25"/>
      <c r="F344" s="25"/>
      <c r="G344" s="18" t="str">
        <f aca="false">IF(AND(D344="",F344=""),"",N(D344)-N(F344))</f>
        <v/>
      </c>
      <c r="H344" s="33"/>
      <c r="I344" s="34"/>
    </row>
    <row r="345" customFormat="false" ht="15" hidden="false" customHeight="false" outlineLevel="0" collapsed="false">
      <c r="A345" s="32"/>
      <c r="B345" s="29"/>
      <c r="C345" s="29"/>
      <c r="D345" s="25"/>
      <c r="E345" s="25"/>
      <c r="F345" s="25"/>
      <c r="G345" s="18" t="str">
        <f aca="false">IF(AND(D345="",F345=""),"",N(D345)-N(F345))</f>
        <v/>
      </c>
      <c r="H345" s="33"/>
      <c r="I345" s="34"/>
    </row>
    <row r="346" customFormat="false" ht="15" hidden="false" customHeight="false" outlineLevel="0" collapsed="false">
      <c r="A346" s="32"/>
      <c r="B346" s="29"/>
      <c r="C346" s="29"/>
      <c r="D346" s="25"/>
      <c r="E346" s="25"/>
      <c r="F346" s="25"/>
      <c r="G346" s="18" t="str">
        <f aca="false">IF(AND(D346="",F346=""),"",N(D346)-N(F346))</f>
        <v/>
      </c>
      <c r="H346" s="33"/>
      <c r="I346" s="34"/>
    </row>
    <row r="347" customFormat="false" ht="15" hidden="false" customHeight="false" outlineLevel="0" collapsed="false">
      <c r="A347" s="32"/>
      <c r="B347" s="29"/>
      <c r="C347" s="29"/>
      <c r="D347" s="25"/>
      <c r="E347" s="25"/>
      <c r="F347" s="25"/>
      <c r="G347" s="18" t="str">
        <f aca="false">IF(AND(D347="",F347=""),"",N(D347)-N(F347))</f>
        <v/>
      </c>
      <c r="H347" s="33"/>
      <c r="I347" s="34"/>
    </row>
    <row r="348" customFormat="false" ht="15" hidden="false" customHeight="false" outlineLevel="0" collapsed="false">
      <c r="A348" s="32"/>
      <c r="B348" s="29"/>
      <c r="C348" s="29"/>
      <c r="D348" s="25"/>
      <c r="E348" s="25"/>
      <c r="F348" s="25"/>
      <c r="G348" s="18" t="str">
        <f aca="false">IF(AND(D348="",F348=""),"",N(D348)-N(F348))</f>
        <v/>
      </c>
      <c r="H348" s="33"/>
      <c r="I348" s="34"/>
    </row>
    <row r="349" customFormat="false" ht="15" hidden="false" customHeight="false" outlineLevel="0" collapsed="false">
      <c r="A349" s="32"/>
      <c r="B349" s="29"/>
      <c r="C349" s="29"/>
      <c r="D349" s="25"/>
      <c r="E349" s="25"/>
      <c r="F349" s="25"/>
      <c r="G349" s="18" t="str">
        <f aca="false">IF(AND(D349="",F349=""),"",N(D349)-N(F349))</f>
        <v/>
      </c>
      <c r="H349" s="33"/>
      <c r="I349" s="34"/>
    </row>
    <row r="350" customFormat="false" ht="15" hidden="false" customHeight="false" outlineLevel="0" collapsed="false">
      <c r="A350" s="32"/>
      <c r="B350" s="29"/>
      <c r="C350" s="29"/>
      <c r="D350" s="25"/>
      <c r="E350" s="25"/>
      <c r="F350" s="25"/>
      <c r="G350" s="18" t="str">
        <f aca="false">IF(AND(D350="",F350=""),"",N(D350)-N(F350))</f>
        <v/>
      </c>
      <c r="H350" s="33"/>
      <c r="I350" s="34"/>
    </row>
    <row r="351" customFormat="false" ht="15" hidden="false" customHeight="false" outlineLevel="0" collapsed="false">
      <c r="A351" s="32"/>
      <c r="B351" s="29"/>
      <c r="C351" s="29"/>
      <c r="D351" s="25"/>
      <c r="E351" s="25"/>
      <c r="F351" s="25"/>
      <c r="G351" s="18" t="str">
        <f aca="false">IF(AND(D351="",F351=""),"",N(D351)-N(F351))</f>
        <v/>
      </c>
      <c r="H351" s="33"/>
      <c r="I351" s="34"/>
    </row>
    <row r="352" customFormat="false" ht="15" hidden="false" customHeight="false" outlineLevel="0" collapsed="false">
      <c r="A352" s="32"/>
      <c r="B352" s="29"/>
      <c r="C352" s="29"/>
      <c r="D352" s="25"/>
      <c r="E352" s="25"/>
      <c r="F352" s="25"/>
      <c r="G352" s="18" t="str">
        <f aca="false">IF(AND(D352="",F352=""),"",N(D352)-N(F352))</f>
        <v/>
      </c>
      <c r="H352" s="33"/>
      <c r="I352" s="34"/>
    </row>
    <row r="353" customFormat="false" ht="15" hidden="false" customHeight="false" outlineLevel="0" collapsed="false">
      <c r="A353" s="32"/>
      <c r="B353" s="29"/>
      <c r="C353" s="29"/>
      <c r="D353" s="25"/>
      <c r="E353" s="25"/>
      <c r="F353" s="25"/>
      <c r="G353" s="18" t="str">
        <f aca="false">IF(AND(D353="",F353=""),"",N(D353)-N(F353))</f>
        <v/>
      </c>
      <c r="H353" s="33"/>
      <c r="I353" s="34"/>
    </row>
    <row r="354" customFormat="false" ht="15" hidden="false" customHeight="false" outlineLevel="0" collapsed="false">
      <c r="A354" s="32"/>
      <c r="B354" s="29"/>
      <c r="C354" s="29"/>
      <c r="D354" s="25"/>
      <c r="E354" s="25"/>
      <c r="F354" s="25"/>
      <c r="G354" s="18" t="str">
        <f aca="false">IF(AND(D354="",F354=""),"",N(D354)-N(F354))</f>
        <v/>
      </c>
      <c r="H354" s="33"/>
      <c r="I354" s="34"/>
    </row>
    <row r="355" customFormat="false" ht="15" hidden="false" customHeight="false" outlineLevel="0" collapsed="false">
      <c r="A355" s="32"/>
      <c r="B355" s="29"/>
      <c r="C355" s="29"/>
      <c r="D355" s="25"/>
      <c r="E355" s="25"/>
      <c r="F355" s="25"/>
      <c r="G355" s="18" t="str">
        <f aca="false">IF(AND(D355="",F355=""),"",N(D355)-N(F355))</f>
        <v/>
      </c>
      <c r="H355" s="33"/>
      <c r="I355" s="34"/>
    </row>
    <row r="356" customFormat="false" ht="15" hidden="false" customHeight="false" outlineLevel="0" collapsed="false">
      <c r="A356" s="32"/>
      <c r="B356" s="29"/>
      <c r="C356" s="29"/>
      <c r="D356" s="25"/>
      <c r="E356" s="25"/>
      <c r="F356" s="25"/>
      <c r="G356" s="18" t="str">
        <f aca="false">IF(AND(D356="",F356=""),"",N(D356)-N(F356))</f>
        <v/>
      </c>
      <c r="H356" s="33"/>
      <c r="I356" s="34"/>
    </row>
    <row r="357" customFormat="false" ht="15" hidden="false" customHeight="false" outlineLevel="0" collapsed="false">
      <c r="A357" s="32"/>
      <c r="B357" s="29"/>
      <c r="C357" s="29"/>
      <c r="D357" s="25"/>
      <c r="E357" s="25"/>
      <c r="F357" s="25"/>
      <c r="G357" s="18" t="str">
        <f aca="false">IF(AND(D357="",F357=""),"",N(D357)-N(F357))</f>
        <v/>
      </c>
      <c r="H357" s="33"/>
      <c r="I357" s="34"/>
    </row>
    <row r="358" customFormat="false" ht="15" hidden="false" customHeight="false" outlineLevel="0" collapsed="false">
      <c r="A358" s="32"/>
      <c r="B358" s="29"/>
      <c r="C358" s="29"/>
      <c r="D358" s="25"/>
      <c r="E358" s="25"/>
      <c r="F358" s="25"/>
      <c r="G358" s="18" t="str">
        <f aca="false">IF(AND(D358="",F358=""),"",N(D358)-N(F358))</f>
        <v/>
      </c>
      <c r="H358" s="33"/>
      <c r="I358" s="34"/>
    </row>
    <row r="359" customFormat="false" ht="15" hidden="false" customHeight="false" outlineLevel="0" collapsed="false">
      <c r="A359" s="32"/>
      <c r="B359" s="29"/>
      <c r="C359" s="29"/>
      <c r="D359" s="25"/>
      <c r="E359" s="25"/>
      <c r="F359" s="25"/>
      <c r="G359" s="18" t="str">
        <f aca="false">IF(AND(D359="",F359=""),"",N(D359)-N(F359))</f>
        <v/>
      </c>
      <c r="H359" s="33"/>
      <c r="I359" s="34"/>
    </row>
    <row r="360" customFormat="false" ht="15" hidden="false" customHeight="false" outlineLevel="0" collapsed="false">
      <c r="A360" s="32"/>
      <c r="B360" s="29"/>
      <c r="C360" s="29"/>
      <c r="D360" s="25"/>
      <c r="E360" s="25"/>
      <c r="F360" s="25"/>
      <c r="G360" s="18" t="str">
        <f aca="false">IF(AND(D360="",F360=""),"",N(D360)-N(F360))</f>
        <v/>
      </c>
      <c r="H360" s="33"/>
      <c r="I360" s="34"/>
    </row>
    <row r="361" customFormat="false" ht="15" hidden="false" customHeight="false" outlineLevel="0" collapsed="false">
      <c r="A361" s="32"/>
      <c r="B361" s="29"/>
      <c r="C361" s="29"/>
      <c r="D361" s="25"/>
      <c r="E361" s="25"/>
      <c r="F361" s="25"/>
      <c r="G361" s="18" t="str">
        <f aca="false">IF(AND(D361="",F361=""),"",N(D361)-N(F361))</f>
        <v/>
      </c>
      <c r="H361" s="33"/>
      <c r="I361" s="34"/>
    </row>
    <row r="362" customFormat="false" ht="15" hidden="false" customHeight="false" outlineLevel="0" collapsed="false">
      <c r="A362" s="32"/>
      <c r="B362" s="29"/>
      <c r="C362" s="29"/>
      <c r="D362" s="25"/>
      <c r="E362" s="25"/>
      <c r="F362" s="25"/>
      <c r="G362" s="18" t="str">
        <f aca="false">IF(AND(D362="",F362=""),"",N(D362)-N(F362))</f>
        <v/>
      </c>
      <c r="H362" s="33"/>
      <c r="I362" s="34"/>
    </row>
    <row r="363" customFormat="false" ht="15" hidden="false" customHeight="false" outlineLevel="0" collapsed="false">
      <c r="A363" s="32"/>
      <c r="B363" s="29"/>
      <c r="C363" s="29"/>
      <c r="D363" s="25"/>
      <c r="E363" s="25"/>
      <c r="F363" s="25"/>
      <c r="G363" s="18" t="str">
        <f aca="false">IF(AND(D363="",F363=""),"",N(D363)-N(F363))</f>
        <v/>
      </c>
      <c r="H363" s="33"/>
      <c r="I363" s="34"/>
    </row>
    <row r="364" customFormat="false" ht="15" hidden="false" customHeight="false" outlineLevel="0" collapsed="false">
      <c r="A364" s="32"/>
      <c r="B364" s="29"/>
      <c r="C364" s="29"/>
      <c r="D364" s="25"/>
      <c r="E364" s="25"/>
      <c r="F364" s="25"/>
      <c r="G364" s="18" t="str">
        <f aca="false">IF(AND(D364="",F364=""),"",N(D364)-N(F364))</f>
        <v/>
      </c>
      <c r="H364" s="33"/>
      <c r="I364" s="34"/>
    </row>
    <row r="365" customFormat="false" ht="15" hidden="false" customHeight="false" outlineLevel="0" collapsed="false">
      <c r="A365" s="32"/>
      <c r="B365" s="29"/>
      <c r="C365" s="29"/>
      <c r="D365" s="25"/>
      <c r="E365" s="25"/>
      <c r="F365" s="25"/>
      <c r="G365" s="18" t="str">
        <f aca="false">IF(AND(D365="",F365=""),"",N(D365)-N(F365))</f>
        <v/>
      </c>
      <c r="H365" s="33"/>
      <c r="I365" s="34"/>
    </row>
    <row r="366" customFormat="false" ht="15" hidden="false" customHeight="false" outlineLevel="0" collapsed="false">
      <c r="A366" s="32"/>
      <c r="B366" s="29"/>
      <c r="C366" s="29"/>
      <c r="D366" s="25"/>
      <c r="E366" s="25"/>
      <c r="F366" s="25"/>
      <c r="G366" s="18" t="str">
        <f aca="false">IF(AND(D366="",F366=""),"",N(D366)-N(F366))</f>
        <v/>
      </c>
      <c r="H366" s="33"/>
      <c r="I366" s="34"/>
    </row>
    <row r="367" customFormat="false" ht="15" hidden="false" customHeight="false" outlineLevel="0" collapsed="false">
      <c r="A367" s="32"/>
      <c r="B367" s="29"/>
      <c r="C367" s="29"/>
      <c r="D367" s="25"/>
      <c r="E367" s="25"/>
      <c r="F367" s="25"/>
      <c r="G367" s="18" t="str">
        <f aca="false">IF(AND(D367="",F367=""),"",N(D367)-N(F367))</f>
        <v/>
      </c>
      <c r="H367" s="33"/>
      <c r="I367" s="34"/>
    </row>
    <row r="368" customFormat="false" ht="15" hidden="false" customHeight="false" outlineLevel="0" collapsed="false">
      <c r="A368" s="32"/>
      <c r="B368" s="29"/>
      <c r="C368" s="29"/>
      <c r="D368" s="25"/>
      <c r="E368" s="25"/>
      <c r="F368" s="25"/>
      <c r="G368" s="18" t="str">
        <f aca="false">IF(AND(D368="",F368=""),"",N(D368)-N(F368))</f>
        <v/>
      </c>
      <c r="H368" s="33"/>
      <c r="I368" s="34"/>
    </row>
    <row r="369" customFormat="false" ht="15" hidden="false" customHeight="false" outlineLevel="0" collapsed="false">
      <c r="A369" s="32"/>
      <c r="B369" s="29"/>
      <c r="C369" s="29"/>
      <c r="D369" s="25"/>
      <c r="E369" s="25"/>
      <c r="F369" s="25"/>
      <c r="G369" s="18" t="str">
        <f aca="false">IF(AND(D369="",F369=""),"",N(D369)-N(F369))</f>
        <v/>
      </c>
      <c r="H369" s="33"/>
      <c r="I369" s="34"/>
    </row>
    <row r="370" customFormat="false" ht="15" hidden="false" customHeight="false" outlineLevel="0" collapsed="false">
      <c r="A370" s="32"/>
      <c r="B370" s="29"/>
      <c r="C370" s="29"/>
      <c r="D370" s="25"/>
      <c r="E370" s="25"/>
      <c r="F370" s="25"/>
      <c r="G370" s="18" t="str">
        <f aca="false">IF(AND(D370="",F370=""),"",N(D370)-N(F370))</f>
        <v/>
      </c>
      <c r="H370" s="33"/>
      <c r="I370" s="34"/>
    </row>
    <row r="371" customFormat="false" ht="15" hidden="false" customHeight="false" outlineLevel="0" collapsed="false">
      <c r="A371" s="32"/>
      <c r="B371" s="29"/>
      <c r="C371" s="29"/>
      <c r="D371" s="25"/>
      <c r="E371" s="25"/>
      <c r="F371" s="25"/>
      <c r="G371" s="18" t="str">
        <f aca="false">IF(AND(D371="",F371=""),"",N(D371)-N(F371))</f>
        <v/>
      </c>
      <c r="H371" s="33"/>
      <c r="I371" s="34"/>
    </row>
    <row r="372" customFormat="false" ht="15" hidden="false" customHeight="false" outlineLevel="0" collapsed="false">
      <c r="A372" s="32"/>
      <c r="B372" s="29"/>
      <c r="C372" s="29"/>
      <c r="D372" s="25"/>
      <c r="E372" s="25"/>
      <c r="F372" s="25"/>
      <c r="G372" s="18" t="str">
        <f aca="false">IF(AND(D372="",F372=""),"",N(D372)-N(F372))</f>
        <v/>
      </c>
      <c r="H372" s="33"/>
      <c r="I372" s="34"/>
    </row>
    <row r="373" customFormat="false" ht="15" hidden="false" customHeight="false" outlineLevel="0" collapsed="false">
      <c r="A373" s="32"/>
      <c r="B373" s="29"/>
      <c r="C373" s="29"/>
      <c r="D373" s="25"/>
      <c r="E373" s="25"/>
      <c r="F373" s="25"/>
      <c r="G373" s="18" t="str">
        <f aca="false">IF(AND(D373="",F373=""),"",N(D373)-N(F373))</f>
        <v/>
      </c>
      <c r="H373" s="33"/>
      <c r="I373" s="34"/>
    </row>
    <row r="374" customFormat="false" ht="15" hidden="false" customHeight="false" outlineLevel="0" collapsed="false">
      <c r="A374" s="32"/>
      <c r="B374" s="29"/>
      <c r="C374" s="29"/>
      <c r="D374" s="25"/>
      <c r="E374" s="25"/>
      <c r="F374" s="25"/>
      <c r="G374" s="18" t="str">
        <f aca="false">IF(AND(D374="",F374=""),"",N(D374)-N(F374))</f>
        <v/>
      </c>
      <c r="H374" s="33"/>
      <c r="I374" s="34"/>
    </row>
    <row r="375" customFormat="false" ht="15" hidden="false" customHeight="false" outlineLevel="0" collapsed="false">
      <c r="A375" s="32"/>
      <c r="B375" s="29"/>
      <c r="C375" s="29"/>
      <c r="D375" s="25"/>
      <c r="E375" s="25"/>
      <c r="F375" s="25"/>
      <c r="G375" s="18" t="str">
        <f aca="false">IF(AND(D375="",F375=""),"",N(D375)-N(F375))</f>
        <v/>
      </c>
      <c r="H375" s="33"/>
      <c r="I375" s="34"/>
    </row>
    <row r="376" customFormat="false" ht="15" hidden="false" customHeight="false" outlineLevel="0" collapsed="false">
      <c r="A376" s="32"/>
      <c r="B376" s="29"/>
      <c r="C376" s="29"/>
      <c r="D376" s="25"/>
      <c r="E376" s="25"/>
      <c r="F376" s="25"/>
      <c r="G376" s="18" t="str">
        <f aca="false">IF(AND(D376="",F376=""),"",N(D376)-N(F376))</f>
        <v/>
      </c>
      <c r="H376" s="33"/>
      <c r="I376" s="34"/>
    </row>
    <row r="377" customFormat="false" ht="15" hidden="false" customHeight="false" outlineLevel="0" collapsed="false">
      <c r="A377" s="32"/>
      <c r="B377" s="29"/>
      <c r="C377" s="29"/>
      <c r="D377" s="25"/>
      <c r="E377" s="25"/>
      <c r="F377" s="25"/>
      <c r="G377" s="18" t="str">
        <f aca="false">IF(AND(D377="",F377=""),"",N(D377)-N(F377))</f>
        <v/>
      </c>
      <c r="H377" s="33"/>
      <c r="I377" s="34"/>
    </row>
    <row r="378" customFormat="false" ht="15" hidden="false" customHeight="false" outlineLevel="0" collapsed="false">
      <c r="A378" s="32"/>
      <c r="B378" s="29"/>
      <c r="C378" s="29"/>
      <c r="D378" s="25"/>
      <c r="E378" s="25"/>
      <c r="F378" s="25"/>
      <c r="G378" s="18" t="str">
        <f aca="false">IF(AND(D378="",F378=""),"",N(D378)-N(F378))</f>
        <v/>
      </c>
      <c r="H378" s="33"/>
      <c r="I378" s="34"/>
    </row>
    <row r="379" customFormat="false" ht="15" hidden="false" customHeight="false" outlineLevel="0" collapsed="false">
      <c r="A379" s="32"/>
      <c r="B379" s="29"/>
      <c r="C379" s="29"/>
      <c r="D379" s="25"/>
      <c r="E379" s="25"/>
      <c r="F379" s="25"/>
      <c r="G379" s="18" t="str">
        <f aca="false">IF(AND(D379="",F379=""),"",N(D379)-N(F379))</f>
        <v/>
      </c>
      <c r="H379" s="33"/>
      <c r="I379" s="34"/>
    </row>
    <row r="380" customFormat="false" ht="15" hidden="false" customHeight="false" outlineLevel="0" collapsed="false">
      <c r="A380" s="32"/>
      <c r="B380" s="29"/>
      <c r="C380" s="29"/>
      <c r="D380" s="25"/>
      <c r="E380" s="25"/>
      <c r="F380" s="25"/>
      <c r="G380" s="18" t="str">
        <f aca="false">IF(AND(D380="",F380=""),"",N(D380)-N(F380))</f>
        <v/>
      </c>
      <c r="H380" s="33"/>
      <c r="I380" s="34"/>
    </row>
    <row r="381" customFormat="false" ht="15" hidden="false" customHeight="false" outlineLevel="0" collapsed="false">
      <c r="A381" s="32"/>
      <c r="B381" s="29"/>
      <c r="C381" s="29"/>
      <c r="D381" s="25"/>
      <c r="E381" s="25"/>
      <c r="F381" s="25"/>
      <c r="G381" s="18" t="str">
        <f aca="false">IF(AND(D381="",F381=""),"",N(D381)-N(F381))</f>
        <v/>
      </c>
      <c r="H381" s="33"/>
      <c r="I381" s="34"/>
    </row>
    <row r="382" customFormat="false" ht="15" hidden="false" customHeight="false" outlineLevel="0" collapsed="false">
      <c r="A382" s="32"/>
      <c r="B382" s="29"/>
      <c r="C382" s="29"/>
      <c r="D382" s="25"/>
      <c r="E382" s="25"/>
      <c r="F382" s="25"/>
      <c r="G382" s="18" t="str">
        <f aca="false">IF(AND(D382="",F382=""),"",N(D382)-N(F382))</f>
        <v/>
      </c>
      <c r="H382" s="33"/>
      <c r="I382" s="34"/>
    </row>
    <row r="383" customFormat="false" ht="15" hidden="false" customHeight="false" outlineLevel="0" collapsed="false">
      <c r="A383" s="32"/>
      <c r="B383" s="29"/>
      <c r="C383" s="29"/>
      <c r="D383" s="25"/>
      <c r="E383" s="25"/>
      <c r="F383" s="25"/>
      <c r="G383" s="18" t="str">
        <f aca="false">IF(AND(D383="",F383=""),"",N(D383)-N(F383))</f>
        <v/>
      </c>
      <c r="H383" s="33"/>
      <c r="I383" s="34"/>
    </row>
    <row r="384" customFormat="false" ht="15" hidden="false" customHeight="false" outlineLevel="0" collapsed="false">
      <c r="A384" s="32"/>
      <c r="B384" s="29"/>
      <c r="C384" s="29"/>
      <c r="D384" s="25"/>
      <c r="E384" s="25"/>
      <c r="F384" s="25"/>
      <c r="G384" s="18" t="str">
        <f aca="false">IF(AND(D384="",F384=""),"",N(D384)-N(F384))</f>
        <v/>
      </c>
      <c r="H384" s="33"/>
      <c r="I384" s="34"/>
    </row>
    <row r="385" customFormat="false" ht="15" hidden="false" customHeight="false" outlineLevel="0" collapsed="false">
      <c r="A385" s="32"/>
      <c r="B385" s="29"/>
      <c r="C385" s="29"/>
      <c r="D385" s="25"/>
      <c r="E385" s="25"/>
      <c r="F385" s="25"/>
      <c r="G385" s="18" t="str">
        <f aca="false">IF(AND(D385="",F385=""),"",N(D385)-N(F385))</f>
        <v/>
      </c>
      <c r="H385" s="33"/>
      <c r="I385" s="34"/>
    </row>
    <row r="386" customFormat="false" ht="15" hidden="false" customHeight="false" outlineLevel="0" collapsed="false">
      <c r="A386" s="32"/>
      <c r="B386" s="29"/>
      <c r="C386" s="29"/>
      <c r="D386" s="25"/>
      <c r="E386" s="25"/>
      <c r="F386" s="25"/>
      <c r="G386" s="18" t="str">
        <f aca="false">IF(AND(D386="",F386=""),"",N(D386)-N(F386))</f>
        <v/>
      </c>
      <c r="H386" s="33"/>
      <c r="I386" s="34"/>
    </row>
    <row r="387" customFormat="false" ht="15" hidden="false" customHeight="false" outlineLevel="0" collapsed="false">
      <c r="A387" s="32"/>
      <c r="B387" s="29"/>
      <c r="C387" s="29"/>
      <c r="D387" s="25"/>
      <c r="E387" s="25"/>
      <c r="F387" s="25"/>
      <c r="G387" s="18" t="str">
        <f aca="false">IF(AND(D387="",F387=""),"",N(D387)-N(F387))</f>
        <v/>
      </c>
      <c r="H387" s="33"/>
      <c r="I387" s="34"/>
    </row>
    <row r="388" customFormat="false" ht="15" hidden="false" customHeight="false" outlineLevel="0" collapsed="false">
      <c r="A388" s="32"/>
      <c r="B388" s="29"/>
      <c r="C388" s="29"/>
      <c r="D388" s="25"/>
      <c r="E388" s="25"/>
      <c r="F388" s="25"/>
      <c r="G388" s="18" t="str">
        <f aca="false">IF(AND(D388="",F388=""),"",N(D388)-N(F388))</f>
        <v/>
      </c>
      <c r="H388" s="33"/>
      <c r="I388" s="34"/>
    </row>
    <row r="389" customFormat="false" ht="15" hidden="false" customHeight="false" outlineLevel="0" collapsed="false">
      <c r="A389" s="32"/>
      <c r="B389" s="29"/>
      <c r="C389" s="29"/>
      <c r="D389" s="25"/>
      <c r="E389" s="25"/>
      <c r="F389" s="25"/>
      <c r="G389" s="18" t="str">
        <f aca="false">IF(AND(D389="",F389=""),"",N(D389)-N(F389))</f>
        <v/>
      </c>
      <c r="H389" s="33"/>
      <c r="I389" s="34"/>
    </row>
    <row r="390" customFormat="false" ht="15" hidden="false" customHeight="false" outlineLevel="0" collapsed="false">
      <c r="A390" s="32"/>
      <c r="B390" s="29"/>
      <c r="C390" s="29"/>
      <c r="D390" s="25"/>
      <c r="E390" s="25"/>
      <c r="F390" s="25"/>
      <c r="G390" s="18" t="str">
        <f aca="false">IF(AND(D390="",F390=""),"",N(D390)-N(F390))</f>
        <v/>
      </c>
      <c r="H390" s="33"/>
      <c r="I390" s="34"/>
    </row>
    <row r="391" customFormat="false" ht="15" hidden="false" customHeight="false" outlineLevel="0" collapsed="false">
      <c r="A391" s="32"/>
      <c r="B391" s="29"/>
      <c r="C391" s="29"/>
      <c r="D391" s="25"/>
      <c r="E391" s="25"/>
      <c r="F391" s="25"/>
      <c r="G391" s="18" t="str">
        <f aca="false">IF(AND(D391="",F391=""),"",N(D391)-N(F391))</f>
        <v/>
      </c>
      <c r="H391" s="33"/>
      <c r="I391" s="34"/>
    </row>
    <row r="392" customFormat="false" ht="15" hidden="false" customHeight="false" outlineLevel="0" collapsed="false">
      <c r="A392" s="32"/>
      <c r="B392" s="29"/>
      <c r="C392" s="29"/>
      <c r="D392" s="25"/>
      <c r="E392" s="25"/>
      <c r="F392" s="25"/>
      <c r="G392" s="18" t="str">
        <f aca="false">IF(AND(D392="",F392=""),"",N(D392)-N(F392))</f>
        <v/>
      </c>
      <c r="H392" s="33"/>
      <c r="I392" s="34"/>
    </row>
    <row r="393" customFormat="false" ht="15" hidden="false" customHeight="false" outlineLevel="0" collapsed="false">
      <c r="A393" s="32"/>
      <c r="B393" s="29"/>
      <c r="C393" s="29"/>
      <c r="D393" s="25"/>
      <c r="E393" s="25"/>
      <c r="F393" s="25"/>
      <c r="G393" s="18" t="str">
        <f aca="false">IF(AND(D393="",F393=""),"",N(D393)-N(F393))</f>
        <v/>
      </c>
      <c r="H393" s="33"/>
      <c r="I393" s="34"/>
    </row>
    <row r="394" customFormat="false" ht="15" hidden="false" customHeight="false" outlineLevel="0" collapsed="false">
      <c r="A394" s="32"/>
      <c r="B394" s="29"/>
      <c r="C394" s="29"/>
      <c r="D394" s="25"/>
      <c r="E394" s="25"/>
      <c r="F394" s="25"/>
      <c r="G394" s="18" t="str">
        <f aca="false">IF(AND(D394="",F394=""),"",N(D394)-N(F394))</f>
        <v/>
      </c>
      <c r="H394" s="33"/>
      <c r="I394" s="34"/>
    </row>
    <row r="395" customFormat="false" ht="15" hidden="false" customHeight="false" outlineLevel="0" collapsed="false">
      <c r="A395" s="32"/>
      <c r="B395" s="29"/>
      <c r="C395" s="29"/>
      <c r="D395" s="25"/>
      <c r="E395" s="25"/>
      <c r="F395" s="25"/>
      <c r="G395" s="18" t="str">
        <f aca="false">IF(AND(D395="",F395=""),"",N(D395)-N(F395))</f>
        <v/>
      </c>
      <c r="H395" s="33"/>
      <c r="I395" s="34"/>
    </row>
    <row r="396" customFormat="false" ht="15" hidden="false" customHeight="false" outlineLevel="0" collapsed="false">
      <c r="A396" s="32"/>
      <c r="B396" s="29"/>
      <c r="C396" s="29"/>
      <c r="D396" s="25"/>
      <c r="E396" s="25"/>
      <c r="F396" s="25"/>
      <c r="G396" s="18" t="str">
        <f aca="false">IF(AND(D396="",F396=""),"",N(D396)-N(F396))</f>
        <v/>
      </c>
      <c r="H396" s="33"/>
      <c r="I396" s="34"/>
    </row>
    <row r="397" customFormat="false" ht="15" hidden="false" customHeight="false" outlineLevel="0" collapsed="false">
      <c r="A397" s="32"/>
      <c r="B397" s="29"/>
      <c r="C397" s="29"/>
      <c r="D397" s="25"/>
      <c r="E397" s="25"/>
      <c r="F397" s="25"/>
      <c r="G397" s="18" t="str">
        <f aca="false">IF(AND(D397="",F397=""),"",N(D397)-N(F397))</f>
        <v/>
      </c>
      <c r="H397" s="33"/>
      <c r="I397" s="34"/>
    </row>
    <row r="398" customFormat="false" ht="15" hidden="false" customHeight="false" outlineLevel="0" collapsed="false">
      <c r="A398" s="32"/>
      <c r="B398" s="29"/>
      <c r="C398" s="29"/>
      <c r="D398" s="25"/>
      <c r="E398" s="25"/>
      <c r="F398" s="25"/>
      <c r="G398" s="18" t="str">
        <f aca="false">IF(AND(D398="",F398=""),"",N(D398)-N(F398))</f>
        <v/>
      </c>
      <c r="H398" s="33"/>
      <c r="I398" s="34"/>
    </row>
    <row r="399" customFormat="false" ht="15" hidden="false" customHeight="false" outlineLevel="0" collapsed="false">
      <c r="A399" s="32"/>
      <c r="B399" s="29"/>
      <c r="C399" s="29"/>
      <c r="D399" s="25"/>
      <c r="E399" s="25"/>
      <c r="F399" s="25"/>
      <c r="G399" s="18" t="str">
        <f aca="false">IF(AND(D399="",F399=""),"",N(D399)-N(F399))</f>
        <v/>
      </c>
      <c r="H399" s="33"/>
      <c r="I399" s="34"/>
    </row>
    <row r="400" customFormat="false" ht="15" hidden="false" customHeight="false" outlineLevel="0" collapsed="false">
      <c r="A400" s="32"/>
      <c r="B400" s="29"/>
      <c r="C400" s="29"/>
      <c r="D400" s="25"/>
      <c r="E400" s="25"/>
      <c r="F400" s="25"/>
      <c r="G400" s="18" t="str">
        <f aca="false">IF(AND(D400="",F400=""),"",N(D400)-N(F400))</f>
        <v/>
      </c>
      <c r="H400" s="33"/>
      <c r="I400" s="34"/>
    </row>
    <row r="401" customFormat="false" ht="15" hidden="false" customHeight="false" outlineLevel="0" collapsed="false">
      <c r="A401" s="32"/>
      <c r="B401" s="29"/>
      <c r="C401" s="29"/>
      <c r="D401" s="25"/>
      <c r="E401" s="25"/>
      <c r="F401" s="25"/>
      <c r="G401" s="18" t="str">
        <f aca="false">IF(AND(D401="",F401=""),"",N(D401)-N(F401))</f>
        <v/>
      </c>
      <c r="H401" s="33"/>
      <c r="I401" s="34"/>
    </row>
    <row r="402" customFormat="false" ht="15" hidden="false" customHeight="false" outlineLevel="0" collapsed="false">
      <c r="A402" s="32"/>
      <c r="B402" s="29"/>
      <c r="C402" s="29"/>
      <c r="D402" s="25"/>
      <c r="E402" s="25"/>
      <c r="F402" s="25"/>
      <c r="G402" s="18" t="str">
        <f aca="false">IF(AND(D402="",F402=""),"",N(D402)-N(F402))</f>
        <v/>
      </c>
      <c r="H402" s="33"/>
      <c r="I402" s="34"/>
    </row>
    <row r="403" customFormat="false" ht="15" hidden="false" customHeight="false" outlineLevel="0" collapsed="false">
      <c r="A403" s="32"/>
      <c r="B403" s="29"/>
      <c r="C403" s="29"/>
      <c r="D403" s="25"/>
      <c r="E403" s="25"/>
      <c r="F403" s="25"/>
      <c r="G403" s="18" t="str">
        <f aca="false">IF(AND(D403="",F403=""),"",N(D403)-N(F403))</f>
        <v/>
      </c>
      <c r="H403" s="33"/>
      <c r="I403" s="34"/>
    </row>
    <row r="404" customFormat="false" ht="15" hidden="false" customHeight="false" outlineLevel="0" collapsed="false">
      <c r="A404" s="32"/>
      <c r="B404" s="29"/>
      <c r="C404" s="29"/>
      <c r="D404" s="25"/>
      <c r="E404" s="25"/>
      <c r="F404" s="25"/>
      <c r="G404" s="18" t="str">
        <f aca="false">IF(AND(D404="",F404=""),"",N(D404)-N(F404))</f>
        <v/>
      </c>
      <c r="H404" s="33"/>
      <c r="I404" s="34"/>
    </row>
    <row r="405" customFormat="false" ht="15" hidden="false" customHeight="false" outlineLevel="0" collapsed="false">
      <c r="A405" s="32"/>
      <c r="B405" s="29"/>
      <c r="C405" s="29"/>
      <c r="D405" s="25"/>
      <c r="E405" s="25"/>
      <c r="F405" s="25"/>
      <c r="G405" s="18" t="str">
        <f aca="false">IF(AND(D405="",F405=""),"",N(D405)-N(F405))</f>
        <v/>
      </c>
      <c r="H405" s="33"/>
      <c r="I405" s="34"/>
    </row>
    <row r="406" customFormat="false" ht="15" hidden="false" customHeight="false" outlineLevel="0" collapsed="false">
      <c r="A406" s="32"/>
      <c r="B406" s="29"/>
      <c r="C406" s="29"/>
      <c r="D406" s="25"/>
      <c r="E406" s="25"/>
      <c r="F406" s="25"/>
      <c r="G406" s="18" t="str">
        <f aca="false">IF(AND(D406="",F406=""),"",N(D406)-N(F406))</f>
        <v/>
      </c>
      <c r="H406" s="33"/>
      <c r="I406" s="34"/>
    </row>
    <row r="407" customFormat="false" ht="15" hidden="false" customHeight="false" outlineLevel="0" collapsed="false">
      <c r="A407" s="32"/>
      <c r="B407" s="29"/>
      <c r="C407" s="29"/>
      <c r="D407" s="25"/>
      <c r="E407" s="25"/>
      <c r="F407" s="25"/>
      <c r="G407" s="18" t="str">
        <f aca="false">IF(AND(D407="",F407=""),"",N(D407)-N(F407))</f>
        <v/>
      </c>
      <c r="H407" s="33"/>
      <c r="I407" s="34"/>
    </row>
    <row r="408" customFormat="false" ht="15" hidden="false" customHeight="false" outlineLevel="0" collapsed="false">
      <c r="A408" s="32"/>
      <c r="B408" s="29"/>
      <c r="C408" s="29"/>
      <c r="D408" s="25"/>
      <c r="E408" s="25"/>
      <c r="F408" s="25"/>
      <c r="G408" s="18" t="str">
        <f aca="false">IF(AND(D408="",F408=""),"",N(D408)-N(F408))</f>
        <v/>
      </c>
      <c r="H408" s="33"/>
      <c r="I408" s="34"/>
    </row>
    <row r="409" customFormat="false" ht="15" hidden="false" customHeight="false" outlineLevel="0" collapsed="false">
      <c r="A409" s="32"/>
      <c r="B409" s="29"/>
      <c r="C409" s="29"/>
      <c r="D409" s="25"/>
      <c r="E409" s="25"/>
      <c r="F409" s="25"/>
      <c r="G409" s="18" t="str">
        <f aca="false">IF(AND(D409="",F409=""),"",N(D409)-N(F409))</f>
        <v/>
      </c>
      <c r="H409" s="33"/>
      <c r="I409" s="34"/>
    </row>
    <row r="410" customFormat="false" ht="15" hidden="false" customHeight="false" outlineLevel="0" collapsed="false">
      <c r="A410" s="32"/>
      <c r="B410" s="29"/>
      <c r="C410" s="29"/>
      <c r="D410" s="25"/>
      <c r="E410" s="25"/>
      <c r="F410" s="25"/>
      <c r="G410" s="18" t="str">
        <f aca="false">IF(AND(D410="",F410=""),"",N(D410)-N(F410))</f>
        <v/>
      </c>
      <c r="H410" s="33"/>
      <c r="I410" s="34"/>
    </row>
    <row r="411" customFormat="false" ht="15" hidden="false" customHeight="false" outlineLevel="0" collapsed="false">
      <c r="A411" s="32"/>
      <c r="B411" s="29"/>
      <c r="C411" s="29"/>
      <c r="D411" s="25"/>
      <c r="E411" s="25"/>
      <c r="F411" s="25"/>
      <c r="G411" s="18" t="str">
        <f aca="false">IF(AND(D411="",F411=""),"",N(D411)-N(F411))</f>
        <v/>
      </c>
      <c r="H411" s="33"/>
      <c r="I411" s="34"/>
    </row>
    <row r="412" customFormat="false" ht="15" hidden="false" customHeight="false" outlineLevel="0" collapsed="false">
      <c r="A412" s="32"/>
      <c r="B412" s="29"/>
      <c r="C412" s="29"/>
      <c r="D412" s="25"/>
      <c r="E412" s="25"/>
      <c r="F412" s="25"/>
      <c r="G412" s="18" t="str">
        <f aca="false">IF(AND(D412="",F412=""),"",N(D412)-N(F412))</f>
        <v/>
      </c>
      <c r="H412" s="33"/>
      <c r="I412" s="34"/>
    </row>
    <row r="413" customFormat="false" ht="15" hidden="false" customHeight="false" outlineLevel="0" collapsed="false">
      <c r="A413" s="32"/>
      <c r="B413" s="29"/>
      <c r="C413" s="29"/>
      <c r="D413" s="25"/>
      <c r="E413" s="25"/>
      <c r="F413" s="25"/>
      <c r="G413" s="18" t="str">
        <f aca="false">IF(AND(D413="",F413=""),"",N(D413)-N(F413))</f>
        <v/>
      </c>
      <c r="H413" s="33"/>
      <c r="I413" s="34"/>
    </row>
    <row r="414" customFormat="false" ht="15" hidden="false" customHeight="false" outlineLevel="0" collapsed="false">
      <c r="A414" s="32"/>
      <c r="B414" s="29"/>
      <c r="C414" s="29"/>
      <c r="D414" s="25"/>
      <c r="E414" s="25"/>
      <c r="F414" s="25"/>
      <c r="G414" s="18" t="str">
        <f aca="false">IF(AND(D414="",F414=""),"",N(D414)-N(F414))</f>
        <v/>
      </c>
      <c r="H414" s="33"/>
      <c r="I414" s="34"/>
    </row>
    <row r="415" customFormat="false" ht="15" hidden="false" customHeight="false" outlineLevel="0" collapsed="false">
      <c r="A415" s="32"/>
      <c r="B415" s="29"/>
      <c r="C415" s="29"/>
      <c r="D415" s="25"/>
      <c r="E415" s="25"/>
      <c r="F415" s="25"/>
      <c r="G415" s="18" t="str">
        <f aca="false">IF(AND(D415="",F415=""),"",N(D415)-N(F415))</f>
        <v/>
      </c>
      <c r="H415" s="33"/>
      <c r="I415" s="34"/>
    </row>
    <row r="416" customFormat="false" ht="15" hidden="false" customHeight="false" outlineLevel="0" collapsed="false">
      <c r="A416" s="32"/>
      <c r="B416" s="29"/>
      <c r="C416" s="29"/>
      <c r="D416" s="25"/>
      <c r="E416" s="25"/>
      <c r="F416" s="25"/>
      <c r="G416" s="18" t="str">
        <f aca="false">IF(AND(D416="",F416=""),"",N(D416)-N(F416))</f>
        <v/>
      </c>
      <c r="H416" s="33"/>
      <c r="I416" s="34"/>
    </row>
    <row r="417" customFormat="false" ht="15" hidden="false" customHeight="false" outlineLevel="0" collapsed="false">
      <c r="A417" s="32"/>
      <c r="B417" s="29"/>
      <c r="C417" s="29"/>
      <c r="D417" s="25"/>
      <c r="E417" s="25"/>
      <c r="F417" s="25"/>
      <c r="G417" s="18" t="str">
        <f aca="false">IF(AND(D417="",F417=""),"",N(D417)-N(F417))</f>
        <v/>
      </c>
      <c r="H417" s="33"/>
      <c r="I417" s="34"/>
    </row>
    <row r="418" customFormat="false" ht="15" hidden="false" customHeight="false" outlineLevel="0" collapsed="false">
      <c r="A418" s="32"/>
      <c r="B418" s="29"/>
      <c r="C418" s="29"/>
      <c r="D418" s="25"/>
      <c r="E418" s="25"/>
      <c r="F418" s="25"/>
      <c r="G418" s="18" t="str">
        <f aca="false">IF(AND(D418="",F418=""),"",N(D418)-N(F418))</f>
        <v/>
      </c>
      <c r="H418" s="33"/>
      <c r="I418" s="34"/>
    </row>
    <row r="419" customFormat="false" ht="15" hidden="false" customHeight="false" outlineLevel="0" collapsed="false">
      <c r="A419" s="32"/>
      <c r="B419" s="29"/>
      <c r="C419" s="29"/>
      <c r="D419" s="25"/>
      <c r="E419" s="25"/>
      <c r="F419" s="25"/>
      <c r="G419" s="18" t="str">
        <f aca="false">IF(AND(D419="",F419=""),"",N(D419)-N(F419))</f>
        <v/>
      </c>
      <c r="H419" s="33"/>
      <c r="I419" s="34"/>
    </row>
    <row r="420" customFormat="false" ht="15" hidden="false" customHeight="false" outlineLevel="0" collapsed="false">
      <c r="A420" s="32"/>
      <c r="B420" s="29"/>
      <c r="C420" s="29"/>
      <c r="D420" s="25"/>
      <c r="E420" s="25"/>
      <c r="F420" s="25"/>
      <c r="G420" s="18" t="str">
        <f aca="false">IF(AND(D420="",F420=""),"",N(D420)-N(F420))</f>
        <v/>
      </c>
      <c r="H420" s="33"/>
      <c r="I420" s="34"/>
    </row>
    <row r="421" customFormat="false" ht="15" hidden="false" customHeight="false" outlineLevel="0" collapsed="false">
      <c r="A421" s="32"/>
      <c r="B421" s="29"/>
      <c r="C421" s="29"/>
      <c r="D421" s="25"/>
      <c r="E421" s="25"/>
      <c r="F421" s="25"/>
      <c r="G421" s="18" t="str">
        <f aca="false">IF(AND(D421="",F421=""),"",N(D421)-N(F421))</f>
        <v/>
      </c>
      <c r="H421" s="33"/>
      <c r="I421" s="34"/>
    </row>
    <row r="422" customFormat="false" ht="15" hidden="false" customHeight="false" outlineLevel="0" collapsed="false">
      <c r="A422" s="32"/>
      <c r="B422" s="29"/>
      <c r="C422" s="29"/>
      <c r="D422" s="25"/>
      <c r="E422" s="25"/>
      <c r="F422" s="25"/>
      <c r="G422" s="18" t="str">
        <f aca="false">IF(AND(D422="",F422=""),"",N(D422)-N(F422))</f>
        <v/>
      </c>
      <c r="H422" s="33"/>
      <c r="I422" s="34"/>
    </row>
    <row r="423" customFormat="false" ht="15" hidden="false" customHeight="false" outlineLevel="0" collapsed="false">
      <c r="A423" s="32"/>
      <c r="B423" s="29"/>
      <c r="C423" s="29"/>
      <c r="D423" s="25"/>
      <c r="E423" s="25"/>
      <c r="F423" s="25"/>
      <c r="G423" s="18" t="str">
        <f aca="false">IF(AND(D423="",F423=""),"",N(D423)-N(F423))</f>
        <v/>
      </c>
      <c r="H423" s="33"/>
      <c r="I423" s="34"/>
    </row>
    <row r="424" customFormat="false" ht="15" hidden="false" customHeight="false" outlineLevel="0" collapsed="false">
      <c r="A424" s="32"/>
      <c r="B424" s="29"/>
      <c r="C424" s="29"/>
      <c r="D424" s="25"/>
      <c r="E424" s="25"/>
      <c r="F424" s="25"/>
      <c r="G424" s="18" t="str">
        <f aca="false">IF(AND(D424="",F424=""),"",N(D424)-N(F424))</f>
        <v/>
      </c>
      <c r="H424" s="33"/>
      <c r="I424" s="34"/>
    </row>
    <row r="425" customFormat="false" ht="15" hidden="false" customHeight="false" outlineLevel="0" collapsed="false">
      <c r="A425" s="32"/>
      <c r="B425" s="29"/>
      <c r="C425" s="29"/>
      <c r="D425" s="25"/>
      <c r="E425" s="25"/>
      <c r="F425" s="25"/>
      <c r="G425" s="18" t="str">
        <f aca="false">IF(AND(D425="",F425=""),"",N(D425)-N(F425))</f>
        <v/>
      </c>
      <c r="H425" s="33"/>
      <c r="I425" s="34"/>
    </row>
    <row r="426" customFormat="false" ht="15" hidden="false" customHeight="false" outlineLevel="0" collapsed="false">
      <c r="A426" s="32"/>
      <c r="B426" s="29"/>
      <c r="C426" s="29"/>
      <c r="D426" s="25"/>
      <c r="E426" s="25"/>
      <c r="F426" s="25"/>
      <c r="G426" s="18" t="str">
        <f aca="false">IF(AND(D426="",F426=""),"",N(D426)-N(F426))</f>
        <v/>
      </c>
      <c r="H426" s="33"/>
      <c r="I426" s="34"/>
    </row>
    <row r="427" customFormat="false" ht="15" hidden="false" customHeight="false" outlineLevel="0" collapsed="false">
      <c r="A427" s="32"/>
      <c r="B427" s="29"/>
      <c r="C427" s="29"/>
      <c r="D427" s="25"/>
      <c r="E427" s="25"/>
      <c r="F427" s="25"/>
      <c r="G427" s="18" t="str">
        <f aca="false">IF(AND(D427="",F427=""),"",N(D427)-N(F427))</f>
        <v/>
      </c>
      <c r="H427" s="33"/>
      <c r="I427" s="34"/>
    </row>
    <row r="428" customFormat="false" ht="15" hidden="false" customHeight="false" outlineLevel="0" collapsed="false">
      <c r="A428" s="32"/>
      <c r="B428" s="29"/>
      <c r="C428" s="29"/>
      <c r="D428" s="25"/>
      <c r="E428" s="25"/>
      <c r="F428" s="25"/>
      <c r="G428" s="18" t="str">
        <f aca="false">IF(AND(D428="",F428=""),"",N(D428)-N(F428))</f>
        <v/>
      </c>
      <c r="H428" s="33"/>
      <c r="I428" s="34"/>
    </row>
    <row r="429" customFormat="false" ht="15" hidden="false" customHeight="false" outlineLevel="0" collapsed="false">
      <c r="A429" s="32"/>
      <c r="B429" s="29"/>
      <c r="C429" s="29"/>
      <c r="D429" s="25"/>
      <c r="E429" s="25"/>
      <c r="F429" s="25"/>
      <c r="G429" s="18" t="str">
        <f aca="false">IF(AND(D429="",F429=""),"",N(D429)-N(F429))</f>
        <v/>
      </c>
      <c r="H429" s="33"/>
      <c r="I429" s="34"/>
    </row>
    <row r="430" customFormat="false" ht="15" hidden="false" customHeight="false" outlineLevel="0" collapsed="false">
      <c r="A430" s="32"/>
      <c r="B430" s="29"/>
      <c r="C430" s="29"/>
      <c r="D430" s="25"/>
      <c r="E430" s="25"/>
      <c r="F430" s="25"/>
      <c r="G430" s="18" t="str">
        <f aca="false">IF(AND(D430="",F430=""),"",N(D430)-N(F430))</f>
        <v/>
      </c>
      <c r="H430" s="33"/>
      <c r="I430" s="34"/>
    </row>
    <row r="431" customFormat="false" ht="15" hidden="false" customHeight="false" outlineLevel="0" collapsed="false">
      <c r="A431" s="32"/>
      <c r="B431" s="29"/>
      <c r="C431" s="29"/>
      <c r="D431" s="25"/>
      <c r="E431" s="25"/>
      <c r="F431" s="25"/>
      <c r="G431" s="18" t="str">
        <f aca="false">IF(AND(D431="",F431=""),"",N(D431)-N(F431))</f>
        <v/>
      </c>
      <c r="H431" s="33"/>
      <c r="I431" s="34"/>
    </row>
    <row r="432" customFormat="false" ht="15" hidden="false" customHeight="false" outlineLevel="0" collapsed="false">
      <c r="A432" s="32"/>
      <c r="B432" s="29"/>
      <c r="C432" s="29"/>
      <c r="D432" s="25"/>
      <c r="E432" s="25"/>
      <c r="F432" s="25"/>
      <c r="G432" s="18" t="str">
        <f aca="false">IF(AND(D432="",F432=""),"",N(D432)-N(F432))</f>
        <v/>
      </c>
      <c r="H432" s="33"/>
      <c r="I432" s="34"/>
    </row>
    <row r="433" customFormat="false" ht="15" hidden="false" customHeight="false" outlineLevel="0" collapsed="false">
      <c r="A433" s="32"/>
      <c r="B433" s="29"/>
      <c r="C433" s="29"/>
      <c r="D433" s="25"/>
      <c r="E433" s="25"/>
      <c r="F433" s="25"/>
      <c r="G433" s="18" t="str">
        <f aca="false">IF(AND(D433="",F433=""),"",N(D433)-N(F433))</f>
        <v/>
      </c>
      <c r="H433" s="33"/>
      <c r="I433" s="34"/>
    </row>
    <row r="434" customFormat="false" ht="15" hidden="false" customHeight="false" outlineLevel="0" collapsed="false">
      <c r="A434" s="32"/>
      <c r="B434" s="29"/>
      <c r="C434" s="29"/>
      <c r="D434" s="25"/>
      <c r="E434" s="25"/>
      <c r="F434" s="25"/>
      <c r="G434" s="18" t="str">
        <f aca="false">IF(AND(D434="",F434=""),"",N(D434)-N(F434))</f>
        <v/>
      </c>
      <c r="H434" s="33"/>
      <c r="I434" s="34"/>
    </row>
    <row r="435" customFormat="false" ht="15" hidden="false" customHeight="false" outlineLevel="0" collapsed="false">
      <c r="A435" s="32"/>
      <c r="B435" s="29"/>
      <c r="C435" s="29"/>
      <c r="D435" s="25"/>
      <c r="E435" s="25"/>
      <c r="F435" s="25"/>
      <c r="G435" s="18" t="str">
        <f aca="false">IF(AND(D435="",F435=""),"",N(D435)-N(F435))</f>
        <v/>
      </c>
      <c r="H435" s="33"/>
      <c r="I435" s="34"/>
    </row>
    <row r="436" customFormat="false" ht="15" hidden="false" customHeight="false" outlineLevel="0" collapsed="false">
      <c r="A436" s="32"/>
      <c r="B436" s="29"/>
      <c r="C436" s="29"/>
      <c r="D436" s="25"/>
      <c r="E436" s="25"/>
      <c r="F436" s="25"/>
      <c r="G436" s="18" t="str">
        <f aca="false">IF(AND(D436="",F436=""),"",N(D436)-N(F436))</f>
        <v/>
      </c>
      <c r="H436" s="33"/>
      <c r="I436" s="34"/>
    </row>
    <row r="437" customFormat="false" ht="15" hidden="false" customHeight="false" outlineLevel="0" collapsed="false">
      <c r="A437" s="32"/>
      <c r="B437" s="29"/>
      <c r="C437" s="29"/>
      <c r="D437" s="25"/>
      <c r="E437" s="25"/>
      <c r="F437" s="25"/>
      <c r="G437" s="18" t="str">
        <f aca="false">IF(AND(D437="",F437=""),"",N(D437)-N(F437))</f>
        <v/>
      </c>
      <c r="H437" s="33"/>
      <c r="I437" s="34"/>
    </row>
    <row r="438" customFormat="false" ht="15" hidden="false" customHeight="false" outlineLevel="0" collapsed="false">
      <c r="A438" s="32"/>
      <c r="B438" s="29"/>
      <c r="C438" s="29"/>
      <c r="D438" s="25"/>
      <c r="E438" s="25"/>
      <c r="F438" s="25"/>
      <c r="G438" s="18" t="str">
        <f aca="false">IF(AND(D438="",F438=""),"",N(D438)-N(F438))</f>
        <v/>
      </c>
      <c r="H438" s="33"/>
      <c r="I438" s="34"/>
    </row>
    <row r="439" customFormat="false" ht="15" hidden="false" customHeight="false" outlineLevel="0" collapsed="false">
      <c r="A439" s="32"/>
      <c r="B439" s="29"/>
      <c r="C439" s="29"/>
      <c r="D439" s="25"/>
      <c r="E439" s="25"/>
      <c r="F439" s="25"/>
      <c r="G439" s="18" t="str">
        <f aca="false">IF(AND(D439="",F439=""),"",N(D439)-N(F439))</f>
        <v/>
      </c>
      <c r="H439" s="33"/>
      <c r="I439" s="34"/>
    </row>
    <row r="440" customFormat="false" ht="15" hidden="false" customHeight="false" outlineLevel="0" collapsed="false">
      <c r="A440" s="32"/>
      <c r="B440" s="29"/>
      <c r="C440" s="29"/>
      <c r="D440" s="25"/>
      <c r="E440" s="25"/>
      <c r="F440" s="25"/>
      <c r="G440" s="18" t="str">
        <f aca="false">IF(AND(D440="",F440=""),"",N(D440)-N(F440))</f>
        <v/>
      </c>
      <c r="H440" s="33"/>
      <c r="I440" s="34"/>
    </row>
    <row r="441" customFormat="false" ht="15" hidden="false" customHeight="false" outlineLevel="0" collapsed="false">
      <c r="A441" s="32"/>
      <c r="B441" s="29"/>
      <c r="C441" s="29"/>
      <c r="D441" s="25"/>
      <c r="E441" s="25"/>
      <c r="F441" s="25"/>
      <c r="G441" s="18" t="str">
        <f aca="false">IF(AND(D441="",F441=""),"",N(D441)-N(F441))</f>
        <v/>
      </c>
      <c r="H441" s="33"/>
      <c r="I441" s="34"/>
    </row>
    <row r="442" customFormat="false" ht="15" hidden="false" customHeight="false" outlineLevel="0" collapsed="false">
      <c r="A442" s="32"/>
      <c r="B442" s="29"/>
      <c r="C442" s="29"/>
      <c r="D442" s="25"/>
      <c r="E442" s="25"/>
      <c r="F442" s="25"/>
      <c r="G442" s="18" t="str">
        <f aca="false">IF(AND(D442="",F442=""),"",N(D442)-N(F442))</f>
        <v/>
      </c>
      <c r="H442" s="33"/>
      <c r="I442" s="34"/>
    </row>
    <row r="443" customFormat="false" ht="15" hidden="false" customHeight="false" outlineLevel="0" collapsed="false">
      <c r="A443" s="32"/>
      <c r="B443" s="29"/>
      <c r="C443" s="29"/>
      <c r="D443" s="25"/>
      <c r="E443" s="25"/>
      <c r="F443" s="25"/>
      <c r="G443" s="18" t="str">
        <f aca="false">IF(AND(D443="",F443=""),"",N(D443)-N(F443))</f>
        <v/>
      </c>
      <c r="H443" s="33"/>
      <c r="I443" s="34"/>
    </row>
    <row r="444" customFormat="false" ht="15" hidden="false" customHeight="false" outlineLevel="0" collapsed="false">
      <c r="A444" s="32"/>
      <c r="B444" s="29"/>
      <c r="C444" s="29"/>
      <c r="D444" s="25"/>
      <c r="E444" s="25"/>
      <c r="F444" s="25"/>
      <c r="G444" s="18" t="str">
        <f aca="false">IF(AND(D444="",F444=""),"",N(D444)-N(F444))</f>
        <v/>
      </c>
      <c r="H444" s="33"/>
      <c r="I444" s="34"/>
    </row>
    <row r="445" customFormat="false" ht="15" hidden="false" customHeight="false" outlineLevel="0" collapsed="false">
      <c r="A445" s="32"/>
      <c r="B445" s="29"/>
      <c r="C445" s="29"/>
      <c r="D445" s="25"/>
      <c r="E445" s="25"/>
      <c r="F445" s="25"/>
      <c r="G445" s="18" t="str">
        <f aca="false">IF(AND(D445="",F445=""),"",N(D445)-N(F445))</f>
        <v/>
      </c>
      <c r="H445" s="33"/>
      <c r="I445" s="34"/>
    </row>
    <row r="446" customFormat="false" ht="15" hidden="false" customHeight="false" outlineLevel="0" collapsed="false">
      <c r="A446" s="32"/>
      <c r="B446" s="29"/>
      <c r="C446" s="29"/>
      <c r="D446" s="25"/>
      <c r="E446" s="25"/>
      <c r="F446" s="25"/>
      <c r="G446" s="18" t="str">
        <f aca="false">IF(AND(D446="",F446=""),"",N(D446)-N(F446))</f>
        <v/>
      </c>
      <c r="H446" s="33"/>
      <c r="I446" s="34"/>
    </row>
    <row r="447" customFormat="false" ht="15" hidden="false" customHeight="false" outlineLevel="0" collapsed="false">
      <c r="A447" s="32"/>
      <c r="B447" s="29"/>
      <c r="C447" s="29"/>
      <c r="D447" s="25"/>
      <c r="E447" s="25"/>
      <c r="F447" s="25"/>
      <c r="G447" s="18" t="str">
        <f aca="false">IF(AND(D447="",F447=""),"",N(D447)-N(F447))</f>
        <v/>
      </c>
      <c r="H447" s="33"/>
      <c r="I447" s="34"/>
    </row>
    <row r="448" customFormat="false" ht="15" hidden="false" customHeight="false" outlineLevel="0" collapsed="false">
      <c r="A448" s="32"/>
      <c r="B448" s="29"/>
      <c r="C448" s="29"/>
      <c r="D448" s="25"/>
      <c r="E448" s="25"/>
      <c r="F448" s="25"/>
      <c r="G448" s="18" t="str">
        <f aca="false">IF(AND(D448="",F448=""),"",N(D448)-N(F448))</f>
        <v/>
      </c>
      <c r="H448" s="33"/>
      <c r="I448" s="34"/>
    </row>
    <row r="449" customFormat="false" ht="15" hidden="false" customHeight="false" outlineLevel="0" collapsed="false">
      <c r="A449" s="32"/>
      <c r="B449" s="29"/>
      <c r="C449" s="29"/>
      <c r="D449" s="25"/>
      <c r="E449" s="25"/>
      <c r="F449" s="25"/>
      <c r="G449" s="18" t="str">
        <f aca="false">IF(AND(D449="",F449=""),"",N(D449)-N(F449))</f>
        <v/>
      </c>
      <c r="H449" s="33"/>
      <c r="I449" s="34"/>
    </row>
    <row r="450" customFormat="false" ht="15" hidden="false" customHeight="false" outlineLevel="0" collapsed="false">
      <c r="A450" s="32"/>
      <c r="B450" s="29"/>
      <c r="C450" s="29"/>
      <c r="D450" s="25"/>
      <c r="E450" s="25"/>
      <c r="F450" s="25"/>
      <c r="G450" s="18" t="str">
        <f aca="false">IF(AND(D450="",F450=""),"",N(D450)-N(F450))</f>
        <v/>
      </c>
      <c r="H450" s="33"/>
      <c r="I450" s="34"/>
    </row>
    <row r="451" customFormat="false" ht="15" hidden="false" customHeight="false" outlineLevel="0" collapsed="false">
      <c r="A451" s="32"/>
      <c r="B451" s="29"/>
      <c r="C451" s="29"/>
      <c r="D451" s="25"/>
      <c r="E451" s="25"/>
      <c r="F451" s="25"/>
      <c r="G451" s="18" t="str">
        <f aca="false">IF(AND(D451="",F451=""),"",N(D451)-N(F451))</f>
        <v/>
      </c>
      <c r="H451" s="33"/>
      <c r="I451" s="34"/>
    </row>
    <row r="452" customFormat="false" ht="15" hidden="false" customHeight="false" outlineLevel="0" collapsed="false">
      <c r="A452" s="32"/>
      <c r="B452" s="29"/>
      <c r="C452" s="29"/>
      <c r="D452" s="25"/>
      <c r="E452" s="25"/>
      <c r="F452" s="25"/>
      <c r="G452" s="18" t="str">
        <f aca="false">IF(AND(D452="",F452=""),"",N(D452)-N(F452))</f>
        <v/>
      </c>
      <c r="H452" s="33"/>
      <c r="I452" s="34"/>
    </row>
    <row r="453" customFormat="false" ht="15" hidden="false" customHeight="false" outlineLevel="0" collapsed="false">
      <c r="A453" s="32"/>
      <c r="B453" s="29"/>
      <c r="C453" s="29"/>
      <c r="D453" s="25"/>
      <c r="E453" s="25"/>
      <c r="F453" s="25"/>
      <c r="G453" s="18" t="str">
        <f aca="false">IF(AND(D453="",F453=""),"",N(D453)-N(F453))</f>
        <v/>
      </c>
      <c r="H453" s="33"/>
      <c r="I453" s="34"/>
    </row>
    <row r="454" customFormat="false" ht="15" hidden="false" customHeight="false" outlineLevel="0" collapsed="false">
      <c r="A454" s="32"/>
      <c r="B454" s="29"/>
      <c r="C454" s="29"/>
      <c r="D454" s="25"/>
      <c r="E454" s="25"/>
      <c r="F454" s="25"/>
      <c r="G454" s="18" t="str">
        <f aca="false">IF(AND(D454="",F454=""),"",N(D454)-N(F454))</f>
        <v/>
      </c>
      <c r="H454" s="33"/>
      <c r="I454" s="34"/>
    </row>
    <row r="455" customFormat="false" ht="15" hidden="false" customHeight="false" outlineLevel="0" collapsed="false">
      <c r="A455" s="32"/>
      <c r="B455" s="29"/>
      <c r="C455" s="29"/>
      <c r="D455" s="25"/>
      <c r="E455" s="25"/>
      <c r="F455" s="25"/>
      <c r="G455" s="18" t="str">
        <f aca="false">IF(AND(D455="",F455=""),"",N(D455)-N(F455))</f>
        <v/>
      </c>
      <c r="H455" s="33"/>
      <c r="I455" s="34"/>
    </row>
    <row r="456" customFormat="false" ht="15" hidden="false" customHeight="false" outlineLevel="0" collapsed="false">
      <c r="A456" s="32"/>
      <c r="B456" s="29"/>
      <c r="C456" s="29"/>
      <c r="D456" s="25"/>
      <c r="E456" s="25"/>
      <c r="F456" s="25"/>
      <c r="G456" s="18" t="str">
        <f aca="false">IF(AND(D456="",F456=""),"",N(D456)-N(F456))</f>
        <v/>
      </c>
      <c r="H456" s="33"/>
      <c r="I456" s="34"/>
    </row>
    <row r="457" customFormat="false" ht="15" hidden="false" customHeight="false" outlineLevel="0" collapsed="false">
      <c r="A457" s="32"/>
      <c r="B457" s="29"/>
      <c r="C457" s="29"/>
      <c r="D457" s="25"/>
      <c r="E457" s="25"/>
      <c r="F457" s="25"/>
      <c r="G457" s="18" t="str">
        <f aca="false">IF(AND(D457="",F457=""),"",N(D457)-N(F457))</f>
        <v/>
      </c>
      <c r="H457" s="33"/>
      <c r="I457" s="34"/>
    </row>
    <row r="458" customFormat="false" ht="15" hidden="false" customHeight="false" outlineLevel="0" collapsed="false">
      <c r="A458" s="32"/>
      <c r="B458" s="29"/>
      <c r="C458" s="29"/>
      <c r="D458" s="25"/>
      <c r="E458" s="25"/>
      <c r="F458" s="25"/>
      <c r="G458" s="18" t="str">
        <f aca="false">IF(AND(D458="",F458=""),"",N(D458)-N(F458))</f>
        <v/>
      </c>
      <c r="H458" s="33"/>
      <c r="I458" s="34"/>
    </row>
    <row r="459" customFormat="false" ht="15" hidden="false" customHeight="false" outlineLevel="0" collapsed="false">
      <c r="A459" s="32"/>
      <c r="B459" s="29"/>
      <c r="C459" s="29"/>
      <c r="D459" s="25"/>
      <c r="E459" s="25"/>
      <c r="F459" s="25"/>
      <c r="G459" s="18" t="str">
        <f aca="false">IF(AND(D459="",F459=""),"",N(D459)-N(F459))</f>
        <v/>
      </c>
      <c r="H459" s="33"/>
      <c r="I459" s="34"/>
    </row>
    <row r="460" customFormat="false" ht="15" hidden="false" customHeight="false" outlineLevel="0" collapsed="false">
      <c r="A460" s="32"/>
      <c r="B460" s="29"/>
      <c r="C460" s="29"/>
      <c r="D460" s="25"/>
      <c r="E460" s="25"/>
      <c r="F460" s="25"/>
      <c r="G460" s="18" t="str">
        <f aca="false">IF(AND(D460="",F460=""),"",N(D460)-N(F460))</f>
        <v/>
      </c>
      <c r="H460" s="33"/>
      <c r="I460" s="34"/>
    </row>
    <row r="461" customFormat="false" ht="15" hidden="false" customHeight="false" outlineLevel="0" collapsed="false">
      <c r="A461" s="32"/>
      <c r="B461" s="29"/>
      <c r="C461" s="29"/>
      <c r="D461" s="25"/>
      <c r="E461" s="25"/>
      <c r="F461" s="25"/>
      <c r="G461" s="18" t="str">
        <f aca="false">IF(AND(D461="",F461=""),"",N(D461)-N(F461))</f>
        <v/>
      </c>
      <c r="H461" s="33"/>
      <c r="I461" s="34"/>
    </row>
    <row r="462" customFormat="false" ht="15" hidden="false" customHeight="false" outlineLevel="0" collapsed="false">
      <c r="A462" s="32"/>
      <c r="B462" s="29"/>
      <c r="C462" s="29"/>
      <c r="D462" s="25"/>
      <c r="E462" s="25"/>
      <c r="F462" s="25"/>
      <c r="G462" s="18" t="str">
        <f aca="false">IF(AND(D462="",F462=""),"",N(D462)-N(F462))</f>
        <v/>
      </c>
      <c r="H462" s="33"/>
      <c r="I462" s="34"/>
    </row>
    <row r="463" customFormat="false" ht="15" hidden="false" customHeight="false" outlineLevel="0" collapsed="false">
      <c r="A463" s="32"/>
      <c r="B463" s="29"/>
      <c r="C463" s="29"/>
      <c r="D463" s="25"/>
      <c r="E463" s="25"/>
      <c r="F463" s="25"/>
      <c r="G463" s="18" t="str">
        <f aca="false">IF(AND(D463="",F463=""),"",N(D463)-N(F463))</f>
        <v/>
      </c>
      <c r="H463" s="33"/>
      <c r="I463" s="34"/>
    </row>
    <row r="464" customFormat="false" ht="15" hidden="false" customHeight="false" outlineLevel="0" collapsed="false">
      <c r="A464" s="32"/>
      <c r="B464" s="29"/>
      <c r="C464" s="29"/>
      <c r="D464" s="25"/>
      <c r="E464" s="25"/>
      <c r="F464" s="25"/>
      <c r="G464" s="18" t="str">
        <f aca="false">IF(AND(D464="",F464=""),"",N(D464)-N(F464))</f>
        <v/>
      </c>
      <c r="H464" s="33"/>
      <c r="I464" s="34"/>
    </row>
    <row r="465" customFormat="false" ht="15" hidden="false" customHeight="false" outlineLevel="0" collapsed="false">
      <c r="A465" s="32"/>
      <c r="B465" s="29"/>
      <c r="C465" s="29"/>
      <c r="D465" s="25"/>
      <c r="E465" s="25"/>
      <c r="F465" s="25"/>
      <c r="G465" s="18" t="str">
        <f aca="false">IF(AND(D465="",F465=""),"",N(D465)-N(F465))</f>
        <v/>
      </c>
      <c r="H465" s="33"/>
      <c r="I465" s="34"/>
    </row>
    <row r="466" customFormat="false" ht="15" hidden="false" customHeight="false" outlineLevel="0" collapsed="false">
      <c r="A466" s="32"/>
      <c r="B466" s="29"/>
      <c r="C466" s="29"/>
      <c r="D466" s="25"/>
      <c r="E466" s="25"/>
      <c r="F466" s="25"/>
      <c r="G466" s="18" t="str">
        <f aca="false">IF(AND(D466="",F466=""),"",N(D466)-N(F466))</f>
        <v/>
      </c>
      <c r="H466" s="33"/>
      <c r="I466" s="34"/>
    </row>
    <row r="467" customFormat="false" ht="15" hidden="false" customHeight="false" outlineLevel="0" collapsed="false">
      <c r="A467" s="32"/>
      <c r="B467" s="29"/>
      <c r="C467" s="29"/>
      <c r="D467" s="25"/>
      <c r="E467" s="25"/>
      <c r="F467" s="25"/>
      <c r="G467" s="18" t="str">
        <f aca="false">IF(AND(D467="",F467=""),"",N(D467)-N(F467))</f>
        <v/>
      </c>
      <c r="H467" s="33"/>
      <c r="I467" s="34"/>
    </row>
    <row r="468" customFormat="false" ht="15" hidden="false" customHeight="false" outlineLevel="0" collapsed="false">
      <c r="A468" s="32"/>
      <c r="B468" s="29"/>
      <c r="C468" s="29"/>
      <c r="D468" s="25"/>
      <c r="E468" s="25"/>
      <c r="F468" s="25"/>
      <c r="G468" s="18" t="str">
        <f aca="false">IF(AND(D468="",F468=""),"",N(D468)-N(F468))</f>
        <v/>
      </c>
      <c r="H468" s="33"/>
      <c r="I468" s="34"/>
    </row>
    <row r="469" customFormat="false" ht="15" hidden="false" customHeight="false" outlineLevel="0" collapsed="false">
      <c r="A469" s="32"/>
      <c r="B469" s="29"/>
      <c r="C469" s="29"/>
      <c r="D469" s="25"/>
      <c r="E469" s="25"/>
      <c r="F469" s="25"/>
      <c r="G469" s="18" t="str">
        <f aca="false">IF(AND(D469="",F469=""),"",N(D469)-N(F469))</f>
        <v/>
      </c>
      <c r="H469" s="33"/>
      <c r="I469" s="34"/>
    </row>
    <row r="470" customFormat="false" ht="15" hidden="false" customHeight="false" outlineLevel="0" collapsed="false">
      <c r="A470" s="32"/>
      <c r="B470" s="29"/>
      <c r="C470" s="29"/>
      <c r="D470" s="25"/>
      <c r="E470" s="25"/>
      <c r="F470" s="25"/>
      <c r="G470" s="18" t="str">
        <f aca="false">IF(AND(D470="",F470=""),"",N(D470)-N(F470))</f>
        <v/>
      </c>
      <c r="H470" s="33"/>
      <c r="I470" s="34"/>
    </row>
    <row r="471" customFormat="false" ht="15" hidden="false" customHeight="false" outlineLevel="0" collapsed="false">
      <c r="A471" s="32"/>
      <c r="B471" s="29"/>
      <c r="C471" s="29"/>
      <c r="D471" s="25"/>
      <c r="E471" s="25"/>
      <c r="F471" s="25"/>
      <c r="G471" s="18" t="str">
        <f aca="false">IF(AND(D471="",F471=""),"",N(D471)-N(F471))</f>
        <v/>
      </c>
      <c r="H471" s="33"/>
      <c r="I471" s="34"/>
    </row>
    <row r="472" customFormat="false" ht="15" hidden="false" customHeight="false" outlineLevel="0" collapsed="false">
      <c r="A472" s="32"/>
      <c r="B472" s="29"/>
      <c r="C472" s="29"/>
      <c r="D472" s="25"/>
      <c r="E472" s="25"/>
      <c r="F472" s="25"/>
      <c r="G472" s="18" t="str">
        <f aca="false">IF(AND(D472="",F472=""),"",N(D472)-N(F472))</f>
        <v/>
      </c>
      <c r="H472" s="33"/>
      <c r="I472" s="34"/>
    </row>
    <row r="473" customFormat="false" ht="15" hidden="false" customHeight="false" outlineLevel="0" collapsed="false">
      <c r="A473" s="32"/>
      <c r="B473" s="29"/>
      <c r="C473" s="29"/>
      <c r="D473" s="25"/>
      <c r="E473" s="25"/>
      <c r="F473" s="25"/>
      <c r="G473" s="18" t="str">
        <f aca="false">IF(AND(D473="",F473=""),"",N(D473)-N(F473))</f>
        <v/>
      </c>
      <c r="H473" s="33"/>
      <c r="I473" s="34"/>
    </row>
    <row r="474" customFormat="false" ht="15" hidden="false" customHeight="false" outlineLevel="0" collapsed="false">
      <c r="A474" s="32"/>
      <c r="B474" s="29"/>
      <c r="C474" s="29"/>
      <c r="D474" s="25"/>
      <c r="E474" s="25"/>
      <c r="F474" s="25"/>
      <c r="G474" s="18" t="str">
        <f aca="false">IF(AND(D474="",F474=""),"",N(D474)-N(F474))</f>
        <v/>
      </c>
      <c r="H474" s="33"/>
      <c r="I474" s="34"/>
    </row>
    <row r="475" customFormat="false" ht="15" hidden="false" customHeight="false" outlineLevel="0" collapsed="false">
      <c r="A475" s="32"/>
      <c r="B475" s="29"/>
      <c r="C475" s="29"/>
      <c r="D475" s="25"/>
      <c r="E475" s="25"/>
      <c r="F475" s="25"/>
      <c r="G475" s="18" t="str">
        <f aca="false">IF(AND(D475="",F475=""),"",N(D475)-N(F475))</f>
        <v/>
      </c>
      <c r="H475" s="33"/>
      <c r="I475" s="34"/>
    </row>
    <row r="476" customFormat="false" ht="15" hidden="false" customHeight="false" outlineLevel="0" collapsed="false">
      <c r="A476" s="32"/>
      <c r="B476" s="29"/>
      <c r="C476" s="29"/>
      <c r="D476" s="25"/>
      <c r="E476" s="25"/>
      <c r="F476" s="25"/>
      <c r="G476" s="18" t="str">
        <f aca="false">IF(AND(D476="",F476=""),"",N(D476)-N(F476))</f>
        <v/>
      </c>
      <c r="H476" s="33"/>
      <c r="I476" s="34"/>
    </row>
    <row r="477" customFormat="false" ht="15" hidden="false" customHeight="false" outlineLevel="0" collapsed="false">
      <c r="A477" s="32"/>
      <c r="B477" s="29"/>
      <c r="C477" s="29"/>
      <c r="D477" s="25"/>
      <c r="E477" s="25"/>
      <c r="F477" s="25"/>
      <c r="G477" s="18" t="str">
        <f aca="false">IF(AND(D477="",F477=""),"",N(D477)-N(F477))</f>
        <v/>
      </c>
      <c r="H477" s="33"/>
      <c r="I477" s="34"/>
    </row>
    <row r="478" customFormat="false" ht="15" hidden="false" customHeight="false" outlineLevel="0" collapsed="false">
      <c r="A478" s="32"/>
      <c r="B478" s="29"/>
      <c r="C478" s="29"/>
      <c r="D478" s="25"/>
      <c r="E478" s="25"/>
      <c r="F478" s="25"/>
      <c r="G478" s="18" t="str">
        <f aca="false">IF(AND(D478="",F478=""),"",N(D478)-N(F478))</f>
        <v/>
      </c>
      <c r="H478" s="33"/>
      <c r="I478" s="34"/>
    </row>
    <row r="479" customFormat="false" ht="15" hidden="false" customHeight="false" outlineLevel="0" collapsed="false">
      <c r="A479" s="32"/>
      <c r="B479" s="29"/>
      <c r="C479" s="29"/>
      <c r="D479" s="25"/>
      <c r="E479" s="25"/>
      <c r="F479" s="25"/>
      <c r="G479" s="18" t="str">
        <f aca="false">IF(AND(D479="",F479=""),"",N(D479)-N(F479))</f>
        <v/>
      </c>
      <c r="H479" s="33"/>
      <c r="I479" s="34"/>
    </row>
    <row r="480" customFormat="false" ht="15" hidden="false" customHeight="false" outlineLevel="0" collapsed="false">
      <c r="A480" s="32"/>
      <c r="B480" s="29"/>
      <c r="C480" s="29"/>
      <c r="D480" s="25"/>
      <c r="E480" s="25"/>
      <c r="F480" s="25"/>
      <c r="G480" s="18" t="str">
        <f aca="false">IF(AND(D480="",F480=""),"",N(D480)-N(F480))</f>
        <v/>
      </c>
      <c r="H480" s="33"/>
      <c r="I480" s="34"/>
    </row>
    <row r="481" customFormat="false" ht="15" hidden="false" customHeight="false" outlineLevel="0" collapsed="false">
      <c r="A481" s="32"/>
      <c r="B481" s="29"/>
      <c r="C481" s="29"/>
      <c r="D481" s="25"/>
      <c r="E481" s="25"/>
      <c r="F481" s="25"/>
      <c r="G481" s="18" t="str">
        <f aca="false">IF(AND(D481="",F481=""),"",N(D481)-N(F481))</f>
        <v/>
      </c>
      <c r="H481" s="33"/>
      <c r="I481" s="34"/>
    </row>
    <row r="482" customFormat="false" ht="15" hidden="false" customHeight="false" outlineLevel="0" collapsed="false">
      <c r="A482" s="32"/>
      <c r="B482" s="29"/>
      <c r="C482" s="29"/>
      <c r="D482" s="25"/>
      <c r="E482" s="25"/>
      <c r="F482" s="25"/>
      <c r="G482" s="18" t="str">
        <f aca="false">IF(AND(D482="",F482=""),"",N(D482)-N(F482))</f>
        <v/>
      </c>
      <c r="H482" s="33"/>
      <c r="I482" s="34"/>
    </row>
    <row r="483" customFormat="false" ht="15" hidden="false" customHeight="false" outlineLevel="0" collapsed="false">
      <c r="A483" s="32"/>
      <c r="B483" s="29"/>
      <c r="C483" s="29"/>
      <c r="D483" s="25"/>
      <c r="E483" s="25"/>
      <c r="F483" s="25"/>
      <c r="G483" s="18" t="str">
        <f aca="false">IF(AND(D483="",F483=""),"",N(D483)-N(F483))</f>
        <v/>
      </c>
      <c r="H483" s="33"/>
      <c r="I483" s="34"/>
    </row>
    <row r="484" customFormat="false" ht="15" hidden="false" customHeight="false" outlineLevel="0" collapsed="false">
      <c r="A484" s="32"/>
      <c r="B484" s="29"/>
      <c r="C484" s="29"/>
      <c r="D484" s="25"/>
      <c r="E484" s="25"/>
      <c r="F484" s="25"/>
      <c r="G484" s="18" t="str">
        <f aca="false">IF(AND(D484="",F484=""),"",N(D484)-N(F484))</f>
        <v/>
      </c>
      <c r="H484" s="33"/>
      <c r="I484" s="34"/>
    </row>
    <row r="485" customFormat="false" ht="15" hidden="false" customHeight="false" outlineLevel="0" collapsed="false">
      <c r="A485" s="32"/>
      <c r="B485" s="29"/>
      <c r="C485" s="29"/>
      <c r="D485" s="25"/>
      <c r="E485" s="25"/>
      <c r="F485" s="25"/>
      <c r="G485" s="18" t="str">
        <f aca="false">IF(AND(D485="",F485=""),"",N(D485)-N(F485))</f>
        <v/>
      </c>
      <c r="H485" s="33"/>
      <c r="I485" s="34"/>
    </row>
    <row r="486" customFormat="false" ht="15" hidden="false" customHeight="false" outlineLevel="0" collapsed="false">
      <c r="A486" s="32"/>
      <c r="B486" s="29"/>
      <c r="C486" s="29"/>
      <c r="D486" s="25"/>
      <c r="E486" s="25"/>
      <c r="F486" s="25"/>
      <c r="G486" s="18" t="str">
        <f aca="false">IF(AND(D486="",F486=""),"",N(D486)-N(F486))</f>
        <v/>
      </c>
      <c r="H486" s="33"/>
      <c r="I486" s="34"/>
    </row>
    <row r="487" customFormat="false" ht="15" hidden="false" customHeight="false" outlineLevel="0" collapsed="false">
      <c r="A487" s="32"/>
      <c r="B487" s="29"/>
      <c r="C487" s="29"/>
      <c r="D487" s="25"/>
      <c r="E487" s="25"/>
      <c r="F487" s="25"/>
      <c r="G487" s="18" t="str">
        <f aca="false">IF(AND(D487="",F487=""),"",N(D487)-N(F487))</f>
        <v/>
      </c>
      <c r="H487" s="33"/>
      <c r="I487" s="34"/>
    </row>
    <row r="488" customFormat="false" ht="15" hidden="false" customHeight="false" outlineLevel="0" collapsed="false">
      <c r="A488" s="32"/>
      <c r="B488" s="29"/>
      <c r="C488" s="29"/>
      <c r="D488" s="25"/>
      <c r="E488" s="25"/>
      <c r="F488" s="25"/>
      <c r="G488" s="18" t="str">
        <f aca="false">IF(AND(D488="",F488=""),"",N(D488)-N(F488))</f>
        <v/>
      </c>
      <c r="H488" s="33"/>
      <c r="I488" s="34"/>
    </row>
    <row r="489" customFormat="false" ht="15" hidden="false" customHeight="false" outlineLevel="0" collapsed="false">
      <c r="A489" s="32"/>
      <c r="B489" s="29"/>
      <c r="C489" s="29"/>
      <c r="D489" s="25"/>
      <c r="E489" s="25"/>
      <c r="F489" s="25"/>
      <c r="G489" s="18" t="str">
        <f aca="false">IF(AND(D489="",F489=""),"",N(D489)-N(F489))</f>
        <v/>
      </c>
      <c r="H489" s="33"/>
      <c r="I489" s="34"/>
    </row>
    <row r="490" customFormat="false" ht="15" hidden="false" customHeight="false" outlineLevel="0" collapsed="false">
      <c r="A490" s="32"/>
      <c r="B490" s="29"/>
      <c r="C490" s="29"/>
      <c r="D490" s="25"/>
      <c r="E490" s="25"/>
      <c r="F490" s="25"/>
      <c r="G490" s="18" t="str">
        <f aca="false">IF(AND(D490="",F490=""),"",N(D490)-N(F490))</f>
        <v/>
      </c>
      <c r="H490" s="33"/>
      <c r="I490" s="34"/>
    </row>
    <row r="491" customFormat="false" ht="15" hidden="false" customHeight="false" outlineLevel="0" collapsed="false">
      <c r="A491" s="32"/>
      <c r="B491" s="29"/>
      <c r="C491" s="29"/>
      <c r="D491" s="25"/>
      <c r="E491" s="25"/>
      <c r="F491" s="25"/>
      <c r="G491" s="18" t="str">
        <f aca="false">IF(AND(D491="",F491=""),"",N(D491)-N(F491))</f>
        <v/>
      </c>
      <c r="H491" s="33"/>
      <c r="I491" s="34"/>
    </row>
    <row r="492" customFormat="false" ht="15" hidden="false" customHeight="false" outlineLevel="0" collapsed="false">
      <c r="A492" s="32"/>
      <c r="B492" s="29"/>
      <c r="C492" s="29"/>
      <c r="D492" s="25"/>
      <c r="E492" s="25"/>
      <c r="F492" s="25"/>
      <c r="G492" s="18" t="str">
        <f aca="false">IF(AND(D492="",F492=""),"",N(D492)-N(F492))</f>
        <v/>
      </c>
      <c r="H492" s="33"/>
      <c r="I492" s="34"/>
    </row>
    <row r="493" customFormat="false" ht="15" hidden="false" customHeight="false" outlineLevel="0" collapsed="false">
      <c r="A493" s="32"/>
      <c r="B493" s="29"/>
      <c r="C493" s="29"/>
      <c r="D493" s="25"/>
      <c r="E493" s="25"/>
      <c r="F493" s="25"/>
      <c r="G493" s="18" t="str">
        <f aca="false">IF(AND(D493="",F493=""),"",N(D493)-N(F493))</f>
        <v/>
      </c>
      <c r="H493" s="33"/>
      <c r="I493" s="34"/>
    </row>
    <row r="494" customFormat="false" ht="15" hidden="false" customHeight="false" outlineLevel="0" collapsed="false">
      <c r="A494" s="32"/>
      <c r="B494" s="29"/>
      <c r="C494" s="29"/>
      <c r="D494" s="25"/>
      <c r="E494" s="25"/>
      <c r="F494" s="25"/>
      <c r="G494" s="18" t="str">
        <f aca="false">IF(AND(D494="",F494=""),"",N(D494)-N(F494))</f>
        <v/>
      </c>
      <c r="H494" s="33"/>
      <c r="I494" s="34"/>
    </row>
    <row r="495" customFormat="false" ht="15" hidden="false" customHeight="false" outlineLevel="0" collapsed="false">
      <c r="A495" s="32"/>
      <c r="B495" s="29"/>
      <c r="C495" s="29"/>
      <c r="D495" s="25"/>
      <c r="E495" s="25"/>
      <c r="F495" s="25"/>
      <c r="G495" s="18" t="str">
        <f aca="false">IF(AND(D495="",F495=""),"",N(D495)-N(F495))</f>
        <v/>
      </c>
      <c r="H495" s="33"/>
      <c r="I495" s="34"/>
    </row>
    <row r="496" customFormat="false" ht="15" hidden="false" customHeight="false" outlineLevel="0" collapsed="false">
      <c r="A496" s="32"/>
      <c r="B496" s="29"/>
      <c r="C496" s="29"/>
      <c r="D496" s="25"/>
      <c r="E496" s="25"/>
      <c r="F496" s="25"/>
      <c r="G496" s="18" t="str">
        <f aca="false">IF(AND(D496="",F496=""),"",N(D496)-N(F496))</f>
        <v/>
      </c>
      <c r="H496" s="33"/>
      <c r="I496" s="34"/>
    </row>
    <row r="497" customFormat="false" ht="15" hidden="false" customHeight="false" outlineLevel="0" collapsed="false">
      <c r="A497" s="32"/>
      <c r="B497" s="29"/>
      <c r="C497" s="29"/>
      <c r="D497" s="25"/>
      <c r="E497" s="25"/>
      <c r="F497" s="25"/>
      <c r="G497" s="18" t="str">
        <f aca="false">IF(AND(D497="",F497=""),"",N(D497)-N(F497))</f>
        <v/>
      </c>
      <c r="H497" s="33"/>
      <c r="I497" s="34"/>
    </row>
    <row r="498" customFormat="false" ht="15" hidden="false" customHeight="false" outlineLevel="0" collapsed="false">
      <c r="A498" s="32"/>
      <c r="B498" s="29"/>
      <c r="C498" s="29"/>
      <c r="D498" s="25"/>
      <c r="E498" s="25"/>
      <c r="F498" s="25"/>
      <c r="G498" s="18" t="str">
        <f aca="false">IF(AND(D498="",F498=""),"",N(D498)-N(F498))</f>
        <v/>
      </c>
      <c r="H498" s="33"/>
      <c r="I498" s="34"/>
    </row>
    <row r="499" customFormat="false" ht="15" hidden="false" customHeight="false" outlineLevel="0" collapsed="false">
      <c r="A499" s="32"/>
      <c r="B499" s="29"/>
      <c r="C499" s="29"/>
      <c r="D499" s="25"/>
      <c r="E499" s="25"/>
      <c r="F499" s="25"/>
      <c r="G499" s="18" t="str">
        <f aca="false">IF(AND(D499="",F499=""),"",N(D499)-N(F499))</f>
        <v/>
      </c>
      <c r="H499" s="33"/>
      <c r="I499" s="34"/>
    </row>
    <row r="500" customFormat="false" ht="15" hidden="false" customHeight="false" outlineLevel="0" collapsed="false">
      <c r="A500" s="32"/>
      <c r="B500" s="29"/>
      <c r="C500" s="29"/>
      <c r="D500" s="25"/>
      <c r="E500" s="25"/>
      <c r="F500" s="25"/>
      <c r="G500" s="18" t="str">
        <f aca="false">IF(AND(D500="",F500=""),"",N(D500)-N(F500))</f>
        <v/>
      </c>
      <c r="H500" s="33"/>
      <c r="I500" s="34"/>
    </row>
    <row r="501" customFormat="false" ht="15" hidden="false" customHeight="false" outlineLevel="0" collapsed="false">
      <c r="A501" s="32"/>
      <c r="B501" s="29"/>
      <c r="C501" s="29"/>
      <c r="D501" s="25"/>
      <c r="E501" s="25"/>
      <c r="F501" s="25"/>
      <c r="G501" s="18" t="str">
        <f aca="false">IF(AND(D501="",F501=""),"",N(D501)-N(F501))</f>
        <v/>
      </c>
      <c r="H501" s="33"/>
      <c r="I501" s="34"/>
    </row>
    <row r="502" customFormat="false" ht="15" hidden="false" customHeight="false" outlineLevel="0" collapsed="false">
      <c r="A502" s="32"/>
      <c r="B502" s="29"/>
      <c r="C502" s="29"/>
      <c r="D502" s="25"/>
      <c r="E502" s="25"/>
      <c r="F502" s="25"/>
      <c r="G502" s="18" t="str">
        <f aca="false">IF(AND(D502="",F502=""),"",N(D502)-N(F502))</f>
        <v/>
      </c>
      <c r="H502" s="33"/>
      <c r="I502" s="34"/>
    </row>
    <row r="503" customFormat="false" ht="15" hidden="false" customHeight="false" outlineLevel="0" collapsed="false">
      <c r="A503" s="32"/>
      <c r="B503" s="29"/>
      <c r="C503" s="29"/>
      <c r="D503" s="25"/>
      <c r="E503" s="25"/>
      <c r="F503" s="25"/>
      <c r="G503" s="18" t="str">
        <f aca="false">IF(AND(D503="",F503=""),"",N(D503)-N(F503))</f>
        <v/>
      </c>
      <c r="H503" s="33"/>
      <c r="I503" s="34"/>
    </row>
    <row r="504" customFormat="false" ht="15" hidden="false" customHeight="false" outlineLevel="0" collapsed="false">
      <c r="A504" s="32"/>
      <c r="B504" s="29"/>
      <c r="C504" s="29"/>
      <c r="D504" s="25"/>
      <c r="E504" s="25"/>
      <c r="F504" s="25"/>
      <c r="G504" s="18" t="str">
        <f aca="false">IF(AND(D504="",F504=""),"",N(D504)-N(F504))</f>
        <v/>
      </c>
      <c r="H504" s="33"/>
      <c r="I504" s="34"/>
    </row>
  </sheetData>
  <autoFilter ref="A4:I504"/>
  <dataValidations count="1">
    <dataValidation allowBlank="true" errorStyle="stop" operator="between" showDropDown="false" showErrorMessage="false" showInputMessage="false" sqref="B5:B504" type="list">
      <formula1>'Danh mục'!$A$5:$A$30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3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250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251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1" t="s">
        <v>142</v>
      </c>
      <c r="B4" s="31" t="s">
        <v>48</v>
      </c>
      <c r="C4" s="31" t="s">
        <v>49</v>
      </c>
      <c r="D4" s="31" t="s">
        <v>50</v>
      </c>
      <c r="E4" s="31" t="s">
        <v>51</v>
      </c>
      <c r="F4" s="31" t="s">
        <v>252</v>
      </c>
    </row>
    <row r="5" customFormat="false" ht="15" hidden="false" customHeight="false" outlineLevel="0" collapsed="false">
      <c r="A5" s="29" t="s">
        <v>184</v>
      </c>
      <c r="B5" s="18" t="n">
        <f aca="false">SUMIFS('Giao dịch TK'!$D$5:$D$504,'Giao dịch TK'!$C$5:$C$504,$A5)</f>
        <v>500</v>
      </c>
      <c r="C5" s="18" t="n">
        <f aca="false">SUMIFS('Giao dịch TK'!$E$5:$E$504,'Giao dịch TK'!$C$5:$C$504,$A5)</f>
        <v>0</v>
      </c>
      <c r="D5" s="18" t="n">
        <f aca="false">SUMIFS('Giao dịch TK'!$F$5:$F$504,'Giao dịch TK'!$C$5:$C$504,$A5)</f>
        <v>600</v>
      </c>
      <c r="E5" s="18" t="n">
        <f aca="false">B5-D5</f>
        <v>-100</v>
      </c>
      <c r="F5" s="18" t="n">
        <f aca="false">COUNTIFS('Giao dịch TK'!$C$5:$C$504,$A5)</f>
        <v>2</v>
      </c>
    </row>
    <row r="6" customFormat="false" ht="15" hidden="false" customHeight="false" outlineLevel="0" collapsed="false">
      <c r="A6" s="29" t="s">
        <v>248</v>
      </c>
      <c r="B6" s="18" t="n">
        <f aca="false">SUMIFS('Giao dịch TK'!$D$5:$D$504,'Giao dịch TK'!$C$5:$C$504,$A6)</f>
        <v>2500</v>
      </c>
      <c r="C6" s="18" t="n">
        <f aca="false">SUMIFS('Giao dịch TK'!$E$5:$E$504,'Giao dịch TK'!$C$5:$C$504,$A6)</f>
        <v>0</v>
      </c>
      <c r="D6" s="18" t="n">
        <f aca="false">SUMIFS('Giao dịch TK'!$F$5:$F$504,'Giao dịch TK'!$C$5:$C$504,$A6)</f>
        <v>0</v>
      </c>
      <c r="E6" s="18" t="n">
        <f aca="false">B6-D6</f>
        <v>2500</v>
      </c>
      <c r="F6" s="18" t="n">
        <f aca="false">COUNTIFS('Giao dịch TK'!$C$5:$C$504,$A6)</f>
        <v>1</v>
      </c>
    </row>
    <row r="7" customFormat="false" ht="15" hidden="false" customHeight="false" outlineLevel="0" collapsed="false">
      <c r="A7" s="29" t="s">
        <v>153</v>
      </c>
      <c r="B7" s="18" t="n">
        <f aca="false">SUMIFS('Giao dịch TK'!$D$5:$D$504,'Giao dịch TK'!$C$5:$C$504,$A7)</f>
        <v>300</v>
      </c>
      <c r="C7" s="18" t="n">
        <f aca="false">SUMIFS('Giao dịch TK'!$E$5:$E$504,'Giao dịch TK'!$C$5:$C$504,$A7)</f>
        <v>0</v>
      </c>
      <c r="D7" s="18" t="n">
        <f aca="false">SUMIFS('Giao dịch TK'!$F$5:$F$504,'Giao dịch TK'!$C$5:$C$504,$A7)</f>
        <v>101</v>
      </c>
      <c r="E7" s="18" t="n">
        <f aca="false">B7-D7</f>
        <v>199</v>
      </c>
      <c r="F7" s="18" t="n">
        <f aca="false">COUNTIFS('Giao dịch TK'!$C$5:$C$504,$A7)</f>
        <v>2</v>
      </c>
    </row>
    <row r="8" customFormat="false" ht="15" hidden="false" customHeight="false" outlineLevel="0" collapsed="false">
      <c r="A8" s="29" t="s">
        <v>198</v>
      </c>
      <c r="B8" s="18" t="n">
        <f aca="false">SUMIFS('Giao dịch TK'!$D$5:$D$504,'Giao dịch TK'!$C$5:$C$504,$A8)</f>
        <v>50</v>
      </c>
      <c r="C8" s="18" t="n">
        <f aca="false">SUMIFS('Giao dịch TK'!$E$5:$E$504,'Giao dịch TK'!$C$5:$C$504,$A8)</f>
        <v>0</v>
      </c>
      <c r="D8" s="18" t="n">
        <f aca="false">SUMIFS('Giao dịch TK'!$F$5:$F$504,'Giao dịch TK'!$C$5:$C$504,$A8)</f>
        <v>0</v>
      </c>
      <c r="E8" s="18" t="n">
        <f aca="false">B8-D8</f>
        <v>50</v>
      </c>
      <c r="F8" s="18" t="n">
        <f aca="false">COUNTIFS('Giao dịch TK'!$C$5:$C$504,$A8)</f>
        <v>1</v>
      </c>
    </row>
    <row r="9" customFormat="false" ht="15" hidden="false" customHeight="false" outlineLevel="0" collapsed="false">
      <c r="A9" s="29" t="s">
        <v>157</v>
      </c>
      <c r="B9" s="18" t="n">
        <f aca="false">SUMIFS('Giao dịch TK'!$D$5:$D$504,'Giao dịch TK'!$C$5:$C$504,$A9)</f>
        <v>350</v>
      </c>
      <c r="C9" s="18" t="n">
        <f aca="false">SUMIFS('Giao dịch TK'!$E$5:$E$504,'Giao dịch TK'!$C$5:$C$504,$A9)</f>
        <v>0</v>
      </c>
      <c r="D9" s="18" t="n">
        <f aca="false">SUMIFS('Giao dịch TK'!$F$5:$F$504,'Giao dịch TK'!$C$5:$C$504,$A9)</f>
        <v>206</v>
      </c>
      <c r="E9" s="18" t="n">
        <f aca="false">B9-D9</f>
        <v>144</v>
      </c>
      <c r="F9" s="18" t="n">
        <f aca="false">COUNTIFS('Giao dịch TK'!$C$5:$C$504,$A9)</f>
        <v>3</v>
      </c>
    </row>
    <row r="10" customFormat="false" ht="15" hidden="false" customHeight="false" outlineLevel="0" collapsed="false">
      <c r="A10" s="29" t="s">
        <v>159</v>
      </c>
      <c r="B10" s="18" t="n">
        <f aca="false">SUMIFS('Giao dịch TK'!$D$5:$D$504,'Giao dịch TK'!$C$5:$C$504,$A10)</f>
        <v>600</v>
      </c>
      <c r="C10" s="18" t="n">
        <f aca="false">SUMIFS('Giao dịch TK'!$E$5:$E$504,'Giao dịch TK'!$C$5:$C$504,$A10)</f>
        <v>0</v>
      </c>
      <c r="D10" s="18" t="n">
        <f aca="false">SUMIFS('Giao dịch TK'!$F$5:$F$504,'Giao dịch TK'!$C$5:$C$504,$A10)</f>
        <v>955</v>
      </c>
      <c r="E10" s="18" t="n">
        <f aca="false">B10-D10</f>
        <v>-355</v>
      </c>
      <c r="F10" s="18" t="n">
        <f aca="false">COUNTIFS('Giao dịch TK'!$C$5:$C$504,$A10)</f>
        <v>3</v>
      </c>
    </row>
    <row r="11" customFormat="false" ht="15" hidden="false" customHeight="false" outlineLevel="0" collapsed="false">
      <c r="A11" s="29" t="s">
        <v>182</v>
      </c>
      <c r="B11" s="18" t="n">
        <f aca="false">SUMIFS('Giao dịch TK'!$D$5:$D$504,'Giao dịch TK'!$C$5:$C$504,$A11)</f>
        <v>4000</v>
      </c>
      <c r="C11" s="18" t="n">
        <f aca="false">SUMIFS('Giao dịch TK'!$E$5:$E$504,'Giao dịch TK'!$C$5:$C$504,$A11)</f>
        <v>0</v>
      </c>
      <c r="D11" s="18" t="n">
        <f aca="false">SUMIFS('Giao dịch TK'!$F$5:$F$504,'Giao dịch TK'!$C$5:$C$504,$A11)</f>
        <v>0</v>
      </c>
      <c r="E11" s="18" t="n">
        <f aca="false">B11-D11</f>
        <v>4000</v>
      </c>
      <c r="F11" s="18" t="n">
        <f aca="false">COUNTIFS('Giao dịch TK'!$C$5:$C$504,$A11)</f>
        <v>1</v>
      </c>
    </row>
    <row r="12" customFormat="false" ht="15" hidden="false" customHeight="false" outlineLevel="0" collapsed="false">
      <c r="A12" s="29" t="s">
        <v>167</v>
      </c>
      <c r="B12" s="18" t="n">
        <f aca="false">SUMIFS('Giao dịch TK'!$D$5:$D$504,'Giao dịch TK'!$C$5:$C$504,$A12)</f>
        <v>300</v>
      </c>
      <c r="C12" s="18" t="n">
        <f aca="false">SUMIFS('Giao dịch TK'!$E$5:$E$504,'Giao dịch TK'!$C$5:$C$504,$A12)</f>
        <v>20000</v>
      </c>
      <c r="D12" s="18" t="n">
        <f aca="false">SUMIFS('Giao dịch TK'!$F$5:$F$504,'Giao dịch TK'!$C$5:$C$504,$A12)</f>
        <v>0</v>
      </c>
      <c r="E12" s="18" t="n">
        <f aca="false">B12-D12</f>
        <v>300</v>
      </c>
      <c r="F12" s="18" t="n">
        <f aca="false">COUNTIFS('Giao dịch TK'!$C$5:$C$504,$A12)</f>
        <v>2</v>
      </c>
    </row>
    <row r="13" customFormat="false" ht="15" hidden="false" customHeight="false" outlineLevel="0" collapsed="false">
      <c r="A13" s="29" t="s">
        <v>151</v>
      </c>
      <c r="B13" s="18" t="n">
        <f aca="false">SUMIFS('Giao dịch TK'!$D$5:$D$504,'Giao dịch TK'!$C$5:$C$504,$A13)</f>
        <v>5000</v>
      </c>
      <c r="C13" s="18" t="n">
        <f aca="false">SUMIFS('Giao dịch TK'!$E$5:$E$504,'Giao dịch TK'!$C$5:$C$504,$A13)</f>
        <v>5000</v>
      </c>
      <c r="D13" s="18" t="n">
        <f aca="false">SUMIFS('Giao dịch TK'!$F$5:$F$504,'Giao dịch TK'!$C$5:$C$504,$A13)</f>
        <v>0</v>
      </c>
      <c r="E13" s="18" t="n">
        <f aca="false">B13-D13</f>
        <v>5000</v>
      </c>
      <c r="F13" s="18" t="n">
        <f aca="false">COUNTIFS('Giao dịch TK'!$C$5:$C$504,$A13)</f>
        <v>1</v>
      </c>
    </row>
    <row r="14" customFormat="false" ht="15" hidden="false" customHeight="false" outlineLevel="0" collapsed="false">
      <c r="A14" s="29" t="s">
        <v>202</v>
      </c>
      <c r="B14" s="18" t="n">
        <f aca="false">SUMIFS('Giao dịch TK'!$D$5:$D$504,'Giao dịch TK'!$C$5:$C$504,$A14)</f>
        <v>2100</v>
      </c>
      <c r="C14" s="18" t="n">
        <f aca="false">SUMIFS('Giao dịch TK'!$E$5:$E$504,'Giao dịch TK'!$C$5:$C$504,$A14)</f>
        <v>0</v>
      </c>
      <c r="D14" s="18" t="n">
        <f aca="false">SUMIFS('Giao dịch TK'!$F$5:$F$504,'Giao dịch TK'!$C$5:$C$504,$A14)</f>
        <v>0</v>
      </c>
      <c r="E14" s="18" t="n">
        <f aca="false">B14-D14</f>
        <v>2100</v>
      </c>
      <c r="F14" s="18" t="n">
        <f aca="false">COUNTIFS('Giao dịch TK'!$C$5:$C$504,$A14)</f>
        <v>2</v>
      </c>
    </row>
    <row r="15" customFormat="false" ht="15" hidden="false" customHeight="false" outlineLevel="0" collapsed="false">
      <c r="A15" s="29" t="s">
        <v>232</v>
      </c>
      <c r="B15" s="18" t="n">
        <f aca="false">SUMIFS('Giao dịch TK'!$D$5:$D$504,'Giao dịch TK'!$C$5:$C$504,$A15)</f>
        <v>100</v>
      </c>
      <c r="C15" s="18" t="n">
        <f aca="false">SUMIFS('Giao dịch TK'!$E$5:$E$504,'Giao dịch TK'!$C$5:$C$504,$A15)</f>
        <v>0</v>
      </c>
      <c r="D15" s="18" t="n">
        <f aca="false">SUMIFS('Giao dịch TK'!$F$5:$F$504,'Giao dịch TK'!$C$5:$C$504,$A15)</f>
        <v>0</v>
      </c>
      <c r="E15" s="18" t="n">
        <f aca="false">B15-D15</f>
        <v>100</v>
      </c>
      <c r="F15" s="18" t="n">
        <f aca="false">COUNTIFS('Giao dịch TK'!$C$5:$C$504,$A15)</f>
        <v>1</v>
      </c>
    </row>
    <row r="16" customFormat="false" ht="15" hidden="false" customHeight="false" outlineLevel="0" collapsed="false">
      <c r="A16" s="29" t="s">
        <v>205</v>
      </c>
      <c r="B16" s="18" t="n">
        <f aca="false">SUMIFS('Giao dịch TK'!$D$5:$D$504,'Giao dịch TK'!$C$5:$C$504,$A16)</f>
        <v>200</v>
      </c>
      <c r="C16" s="18" t="n">
        <f aca="false">SUMIFS('Giao dịch TK'!$E$5:$E$504,'Giao dịch TK'!$C$5:$C$504,$A16)</f>
        <v>0</v>
      </c>
      <c r="D16" s="18" t="n">
        <f aca="false">SUMIFS('Giao dịch TK'!$F$5:$F$504,'Giao dịch TK'!$C$5:$C$504,$A16)</f>
        <v>0</v>
      </c>
      <c r="E16" s="18" t="n">
        <f aca="false">B16-D16</f>
        <v>200</v>
      </c>
      <c r="F16" s="18" t="n">
        <f aca="false">COUNTIFS('Giao dịch TK'!$C$5:$C$504,$A16)</f>
        <v>2</v>
      </c>
    </row>
    <row r="17" customFormat="false" ht="15" hidden="false" customHeight="false" outlineLevel="0" collapsed="false">
      <c r="A17" s="29" t="s">
        <v>221</v>
      </c>
      <c r="B17" s="18" t="n">
        <f aca="false">SUMIFS('Giao dịch TK'!$D$5:$D$504,'Giao dịch TK'!$C$5:$C$504,$A17)</f>
        <v>50</v>
      </c>
      <c r="C17" s="18" t="n">
        <f aca="false">SUMIFS('Giao dịch TK'!$E$5:$E$504,'Giao dịch TK'!$C$5:$C$504,$A17)</f>
        <v>0</v>
      </c>
      <c r="D17" s="18" t="n">
        <f aca="false">SUMIFS('Giao dịch TK'!$F$5:$F$504,'Giao dịch TK'!$C$5:$C$504,$A17)</f>
        <v>0</v>
      </c>
      <c r="E17" s="18" t="n">
        <f aca="false">B17-D17</f>
        <v>50</v>
      </c>
      <c r="F17" s="18" t="n">
        <f aca="false">COUNTIFS('Giao dịch TK'!$C$5:$C$504,$A17)</f>
        <v>1</v>
      </c>
    </row>
    <row r="18" customFormat="false" ht="15" hidden="false" customHeight="false" outlineLevel="0" collapsed="false">
      <c r="A18" s="29" t="s">
        <v>165</v>
      </c>
      <c r="B18" s="18" t="n">
        <f aca="false">SUMIFS('Giao dịch TK'!$D$5:$D$504,'Giao dịch TK'!$C$5:$C$504,$A18)</f>
        <v>3000</v>
      </c>
      <c r="C18" s="18" t="n">
        <f aca="false">SUMIFS('Giao dịch TK'!$E$5:$E$504,'Giao dịch TK'!$C$5:$C$504,$A18)</f>
        <v>6000</v>
      </c>
      <c r="D18" s="18" t="n">
        <f aca="false">SUMIFS('Giao dịch TK'!$F$5:$F$504,'Giao dịch TK'!$C$5:$C$504,$A18)</f>
        <v>0</v>
      </c>
      <c r="E18" s="18" t="n">
        <f aca="false">B18-D18</f>
        <v>3000</v>
      </c>
      <c r="F18" s="18" t="n">
        <f aca="false">COUNTIFS('Giao dịch TK'!$C$5:$C$504,$A18)</f>
        <v>1</v>
      </c>
    </row>
    <row r="19" customFormat="false" ht="15" hidden="false" customHeight="false" outlineLevel="0" collapsed="false">
      <c r="A19" s="29" t="s">
        <v>187</v>
      </c>
      <c r="B19" s="18" t="n">
        <f aca="false">SUMIFS('Giao dịch TK'!$D$5:$D$504,'Giao dịch TK'!$C$5:$C$504,$A19)</f>
        <v>50</v>
      </c>
      <c r="C19" s="18" t="n">
        <f aca="false">SUMIFS('Giao dịch TK'!$E$5:$E$504,'Giao dịch TK'!$C$5:$C$504,$A19)</f>
        <v>0</v>
      </c>
      <c r="D19" s="18" t="n">
        <f aca="false">SUMIFS('Giao dịch TK'!$F$5:$F$504,'Giao dịch TK'!$C$5:$C$504,$A19)</f>
        <v>0</v>
      </c>
      <c r="E19" s="18" t="n">
        <f aca="false">B19-D19</f>
        <v>50</v>
      </c>
      <c r="F19" s="18" t="n">
        <f aca="false">COUNTIFS('Giao dịch TK'!$C$5:$C$504,$A19)</f>
        <v>1</v>
      </c>
    </row>
    <row r="20" customFormat="false" ht="15" hidden="false" customHeight="false" outlineLevel="0" collapsed="false">
      <c r="A20" s="29" t="s">
        <v>196</v>
      </c>
      <c r="B20" s="18" t="n">
        <f aca="false">SUMIFS('Giao dịch TK'!$D$5:$D$504,'Giao dịch TK'!$C$5:$C$504,$A20)</f>
        <v>1000</v>
      </c>
      <c r="C20" s="18" t="n">
        <f aca="false">SUMIFS('Giao dịch TK'!$E$5:$E$504,'Giao dịch TK'!$C$5:$C$504,$A20)</f>
        <v>0</v>
      </c>
      <c r="D20" s="18" t="n">
        <f aca="false">SUMIFS('Giao dịch TK'!$F$5:$F$504,'Giao dịch TK'!$C$5:$C$504,$A20)</f>
        <v>0</v>
      </c>
      <c r="E20" s="18" t="n">
        <f aca="false">B20-D20</f>
        <v>1000</v>
      </c>
      <c r="F20" s="18" t="n">
        <f aca="false">COUNTIFS('Giao dịch TK'!$C$5:$C$504,$A20)</f>
        <v>1</v>
      </c>
    </row>
    <row r="21" customFormat="false" ht="15" hidden="false" customHeight="false" outlineLevel="0" collapsed="false">
      <c r="A21" s="29" t="s">
        <v>149</v>
      </c>
      <c r="B21" s="18" t="n">
        <f aca="false">SUMIFS('Giao dịch TK'!$D$5:$D$504,'Giao dịch TK'!$C$5:$C$504,$A21)</f>
        <v>50</v>
      </c>
      <c r="C21" s="18" t="n">
        <f aca="false">SUMIFS('Giao dịch TK'!$E$5:$E$504,'Giao dịch TK'!$C$5:$C$504,$A21)</f>
        <v>0</v>
      </c>
      <c r="D21" s="18" t="n">
        <f aca="false">SUMIFS('Giao dịch TK'!$F$5:$F$504,'Giao dịch TK'!$C$5:$C$504,$A21)</f>
        <v>307</v>
      </c>
      <c r="E21" s="18" t="n">
        <f aca="false">B21-D21</f>
        <v>-257</v>
      </c>
      <c r="F21" s="18" t="n">
        <f aca="false">COUNTIFS('Giao dịch TK'!$C$5:$C$504,$A21)</f>
        <v>1</v>
      </c>
    </row>
    <row r="22" customFormat="false" ht="15" hidden="false" customHeight="false" outlineLevel="0" collapsed="false">
      <c r="A22" s="29" t="s">
        <v>211</v>
      </c>
      <c r="B22" s="18" t="n">
        <f aca="false">SUMIFS('Giao dịch TK'!$D$5:$D$504,'Giao dịch TK'!$C$5:$C$504,$A22)</f>
        <v>500</v>
      </c>
      <c r="C22" s="18" t="n">
        <f aca="false">SUMIFS('Giao dịch TK'!$E$5:$E$504,'Giao dịch TK'!$C$5:$C$504,$A22)</f>
        <v>0</v>
      </c>
      <c r="D22" s="18" t="n">
        <f aca="false">SUMIFS('Giao dịch TK'!$F$5:$F$504,'Giao dịch TK'!$C$5:$C$504,$A22)</f>
        <v>0</v>
      </c>
      <c r="E22" s="18" t="n">
        <f aca="false">B22-D22</f>
        <v>500</v>
      </c>
      <c r="F22" s="18" t="n">
        <f aca="false">COUNTIFS('Giao dịch TK'!$C$5:$C$504,$A22)</f>
        <v>1</v>
      </c>
    </row>
    <row r="23" customFormat="false" ht="15" hidden="false" customHeight="false" outlineLevel="0" collapsed="false">
      <c r="A23" s="29" t="s">
        <v>143</v>
      </c>
      <c r="B23" s="18" t="n">
        <f aca="false">SUMIFS('Giao dịch TK'!$D$5:$D$504,'Giao dịch TK'!$C$5:$C$504,$A23)</f>
        <v>100</v>
      </c>
      <c r="C23" s="18" t="n">
        <f aca="false">SUMIFS('Giao dịch TK'!$E$5:$E$504,'Giao dịch TK'!$C$5:$C$504,$A23)</f>
        <v>0</v>
      </c>
      <c r="D23" s="18" t="n">
        <f aca="false">SUMIFS('Giao dịch TK'!$F$5:$F$504,'Giao dịch TK'!$C$5:$C$504,$A23)</f>
        <v>700</v>
      </c>
      <c r="E23" s="18" t="n">
        <f aca="false">B23-D23</f>
        <v>-600</v>
      </c>
      <c r="F23" s="18" t="n">
        <f aca="false">COUNTIFS('Giao dịch TK'!$C$5:$C$504,$A23)</f>
        <v>2</v>
      </c>
    </row>
    <row r="24" customFormat="false" ht="15" hidden="false" customHeight="false" outlineLevel="0" collapsed="false">
      <c r="A24" s="29" t="s">
        <v>246</v>
      </c>
      <c r="B24" s="18" t="n">
        <f aca="false">SUMIFS('Giao dịch TK'!$D$5:$D$504,'Giao dịch TK'!$C$5:$C$504,$A24)</f>
        <v>1000</v>
      </c>
      <c r="C24" s="18" t="n">
        <f aca="false">SUMIFS('Giao dịch TK'!$E$5:$E$504,'Giao dịch TK'!$C$5:$C$504,$A24)</f>
        <v>0</v>
      </c>
      <c r="D24" s="18" t="n">
        <f aca="false">SUMIFS('Giao dịch TK'!$F$5:$F$504,'Giao dịch TK'!$C$5:$C$504,$A24)</f>
        <v>0</v>
      </c>
      <c r="E24" s="18" t="n">
        <f aca="false">B24-D24</f>
        <v>1000</v>
      </c>
      <c r="F24" s="18" t="n">
        <f aca="false">COUNTIFS('Giao dịch TK'!$C$5:$C$504,$A24)</f>
        <v>1</v>
      </c>
    </row>
    <row r="25" customFormat="false" ht="15" hidden="false" customHeight="false" outlineLevel="0" collapsed="false">
      <c r="A25" s="29" t="s">
        <v>244</v>
      </c>
      <c r="B25" s="18" t="n">
        <f aca="false">SUMIFS('Giao dịch TK'!$D$5:$D$504,'Giao dịch TK'!$C$5:$C$504,$A25)</f>
        <v>3000</v>
      </c>
      <c r="C25" s="18" t="n">
        <f aca="false">SUMIFS('Giao dịch TK'!$E$5:$E$504,'Giao dịch TK'!$C$5:$C$504,$A25)</f>
        <v>0</v>
      </c>
      <c r="D25" s="18" t="n">
        <f aca="false">SUMIFS('Giao dịch TK'!$F$5:$F$504,'Giao dịch TK'!$C$5:$C$504,$A25)</f>
        <v>0</v>
      </c>
      <c r="E25" s="18" t="n">
        <f aca="false">B25-D25</f>
        <v>3000</v>
      </c>
      <c r="F25" s="18" t="n">
        <f aca="false">COUNTIFS('Giao dịch TK'!$C$5:$C$504,$A25)</f>
        <v>1</v>
      </c>
    </row>
    <row r="26" customFormat="false" ht="15" hidden="false" customHeight="false" outlineLevel="0" collapsed="false">
      <c r="A26" s="29" t="s">
        <v>155</v>
      </c>
      <c r="B26" s="18" t="n">
        <f aca="false">SUMIFS('Giao dịch TK'!$D$5:$D$504,'Giao dịch TK'!$C$5:$C$504,$A26)</f>
        <v>1000</v>
      </c>
      <c r="C26" s="18" t="n">
        <f aca="false">SUMIFS('Giao dịch TK'!$E$5:$E$504,'Giao dịch TK'!$C$5:$C$504,$A26)</f>
        <v>0</v>
      </c>
      <c r="D26" s="18" t="n">
        <f aca="false">SUMIFS('Giao dịch TK'!$F$5:$F$504,'Giao dịch TK'!$C$5:$C$504,$A26)</f>
        <v>0</v>
      </c>
      <c r="E26" s="18" t="n">
        <f aca="false">B26-D26</f>
        <v>1000</v>
      </c>
      <c r="F26" s="18" t="n">
        <f aca="false">COUNTIFS('Giao dịch TK'!$C$5:$C$504,$A26)</f>
        <v>1</v>
      </c>
    </row>
    <row r="27" customFormat="false" ht="15" hidden="false" customHeight="false" outlineLevel="0" collapsed="false">
      <c r="A27" s="29" t="s">
        <v>147</v>
      </c>
      <c r="B27" s="18" t="n">
        <f aca="false">SUMIFS('Giao dịch TK'!$D$5:$D$504,'Giao dịch TK'!$C$5:$C$504,$A27)</f>
        <v>3000</v>
      </c>
      <c r="C27" s="18" t="n">
        <f aca="false">SUMIFS('Giao dịch TK'!$E$5:$E$504,'Giao dịch TK'!$C$5:$C$504,$A27)</f>
        <v>0</v>
      </c>
      <c r="D27" s="18" t="n">
        <f aca="false">SUMIFS('Giao dịch TK'!$F$5:$F$504,'Giao dịch TK'!$C$5:$C$504,$A27)</f>
        <v>0</v>
      </c>
      <c r="E27" s="18" t="n">
        <f aca="false">B27-D27</f>
        <v>3000</v>
      </c>
      <c r="F27" s="18" t="n">
        <f aca="false">COUNTIFS('Giao dịch TK'!$C$5:$C$504,$A27)</f>
        <v>1</v>
      </c>
    </row>
    <row r="28" customFormat="false" ht="15" hidden="false" customHeight="false" outlineLevel="0" collapsed="false">
      <c r="A28" s="29" t="s">
        <v>236</v>
      </c>
      <c r="B28" s="18" t="n">
        <f aca="false">SUMIFS('Giao dịch TK'!$D$5:$D$504,'Giao dịch TK'!$C$5:$C$504,$A28)</f>
        <v>200</v>
      </c>
      <c r="C28" s="18" t="n">
        <f aca="false">SUMIFS('Giao dịch TK'!$E$5:$E$504,'Giao dịch TK'!$C$5:$C$504,$A28)</f>
        <v>0</v>
      </c>
      <c r="D28" s="18" t="n">
        <f aca="false">SUMIFS('Giao dịch TK'!$F$5:$F$504,'Giao dịch TK'!$C$5:$C$504,$A28)</f>
        <v>0</v>
      </c>
      <c r="E28" s="18" t="n">
        <f aca="false">B28-D28</f>
        <v>200</v>
      </c>
      <c r="F28" s="18" t="n">
        <f aca="false">COUNTIFS('Giao dịch TK'!$C$5:$C$504,$A28)</f>
        <v>1</v>
      </c>
    </row>
    <row r="29" customFormat="false" ht="15" hidden="false" customHeight="false" outlineLevel="0" collapsed="false">
      <c r="A29" s="29" t="s">
        <v>223</v>
      </c>
      <c r="B29" s="18" t="n">
        <f aca="false">SUMIFS('Giao dịch TK'!$D$5:$D$504,'Giao dịch TK'!$C$5:$C$504,$A29)</f>
        <v>1000</v>
      </c>
      <c r="C29" s="18" t="n">
        <f aca="false">SUMIFS('Giao dịch TK'!$E$5:$E$504,'Giao dịch TK'!$C$5:$C$504,$A29)</f>
        <v>4000</v>
      </c>
      <c r="D29" s="18" t="n">
        <f aca="false">SUMIFS('Giao dịch TK'!$F$5:$F$504,'Giao dịch TK'!$C$5:$C$504,$A29)</f>
        <v>0</v>
      </c>
      <c r="E29" s="18" t="n">
        <f aca="false">B29-D29</f>
        <v>1000</v>
      </c>
      <c r="F29" s="18" t="n">
        <f aca="false">COUNTIFS('Giao dịch TK'!$C$5:$C$504,$A29)</f>
        <v>1</v>
      </c>
    </row>
    <row r="30" customFormat="false" ht="15" hidden="false" customHeight="false" outlineLevel="0" collapsed="false">
      <c r="A30" s="29" t="s">
        <v>207</v>
      </c>
      <c r="B30" s="18" t="n">
        <f aca="false">SUMIFS('Giao dịch TK'!$D$5:$D$504,'Giao dịch TK'!$C$5:$C$504,$A30)</f>
        <v>1000</v>
      </c>
      <c r="C30" s="18" t="n">
        <f aca="false">SUMIFS('Giao dịch TK'!$E$5:$E$504,'Giao dịch TK'!$C$5:$C$504,$A30)</f>
        <v>0</v>
      </c>
      <c r="D30" s="18" t="n">
        <f aca="false">SUMIFS('Giao dịch TK'!$F$5:$F$504,'Giao dịch TK'!$C$5:$C$504,$A30)</f>
        <v>0</v>
      </c>
      <c r="E30" s="18" t="n">
        <f aca="false">B30-D30</f>
        <v>1000</v>
      </c>
      <c r="F30" s="18" t="n">
        <f aca="false">COUNTIFS('Giao dịch TK'!$C$5:$C$504,$A30)</f>
        <v>1</v>
      </c>
    </row>
    <row r="31" customFormat="false" ht="15" hidden="false" customHeight="false" outlineLevel="0" collapsed="false">
      <c r="A31" s="29" t="s">
        <v>219</v>
      </c>
      <c r="B31" s="18" t="n">
        <f aca="false">SUMIFS('Giao dịch TK'!$D$5:$D$504,'Giao dịch TK'!$C$5:$C$504,$A31)</f>
        <v>500</v>
      </c>
      <c r="C31" s="18" t="n">
        <f aca="false">SUMIFS('Giao dịch TK'!$E$5:$E$504,'Giao dịch TK'!$C$5:$C$504,$A31)</f>
        <v>0</v>
      </c>
      <c r="D31" s="18" t="n">
        <f aca="false">SUMIFS('Giao dịch TK'!$F$5:$F$504,'Giao dịch TK'!$C$5:$C$504,$A31)</f>
        <v>0</v>
      </c>
      <c r="E31" s="18" t="n">
        <f aca="false">B31-D31</f>
        <v>500</v>
      </c>
      <c r="F31" s="18" t="n">
        <f aca="false">COUNTIFS('Giao dịch TK'!$C$5:$C$504,$A31)</f>
        <v>1</v>
      </c>
    </row>
    <row r="32" customFormat="false" ht="15" hidden="false" customHeight="false" outlineLevel="0" collapsed="false">
      <c r="A32" s="29" t="s">
        <v>239</v>
      </c>
      <c r="B32" s="18" t="n">
        <f aca="false">SUMIFS('Giao dịch TK'!$D$5:$D$504,'Giao dịch TK'!$C$5:$C$504,$A32)</f>
        <v>50</v>
      </c>
      <c r="C32" s="18" t="n">
        <f aca="false">SUMIFS('Giao dịch TK'!$E$5:$E$504,'Giao dịch TK'!$C$5:$C$504,$A32)</f>
        <v>0</v>
      </c>
      <c r="D32" s="18" t="n">
        <f aca="false">SUMIFS('Giao dịch TK'!$F$5:$F$504,'Giao dịch TK'!$C$5:$C$504,$A32)</f>
        <v>0</v>
      </c>
      <c r="E32" s="18" t="n">
        <f aca="false">B32-D32</f>
        <v>50</v>
      </c>
      <c r="F32" s="18" t="n">
        <f aca="false">COUNTIFS('Giao dịch TK'!$C$5:$C$504,$A32)</f>
        <v>1</v>
      </c>
    </row>
    <row r="33" customFormat="false" ht="15" hidden="false" customHeight="false" outlineLevel="0" collapsed="false">
      <c r="A33" s="29" t="s">
        <v>209</v>
      </c>
      <c r="B33" s="18" t="n">
        <f aca="false">SUMIFS('Giao dịch TK'!$D$5:$D$504,'Giao dịch TK'!$C$5:$C$504,$A33)</f>
        <v>1200</v>
      </c>
      <c r="C33" s="18" t="n">
        <f aca="false">SUMIFS('Giao dịch TK'!$E$5:$E$504,'Giao dịch TK'!$C$5:$C$504,$A33)</f>
        <v>0</v>
      </c>
      <c r="D33" s="18" t="n">
        <f aca="false">SUMIFS('Giao dịch TK'!$F$5:$F$504,'Giao dịch TK'!$C$5:$C$504,$A33)</f>
        <v>0</v>
      </c>
      <c r="E33" s="18" t="n">
        <f aca="false">B33-D33</f>
        <v>1200</v>
      </c>
      <c r="F33" s="18" t="n">
        <f aca="false">COUNTIFS('Giao dịch TK'!$C$5:$C$504,$A33)</f>
        <v>1</v>
      </c>
    </row>
    <row r="34" customFormat="false" ht="15" hidden="false" customHeight="false" outlineLevel="0" collapsed="false">
      <c r="A34" s="29" t="s">
        <v>180</v>
      </c>
      <c r="B34" s="18" t="n">
        <f aca="false">SUMIFS('Giao dịch TK'!$D$5:$D$504,'Giao dịch TK'!$C$5:$C$504,$A34)</f>
        <v>1000</v>
      </c>
      <c r="C34" s="18" t="n">
        <f aca="false">SUMIFS('Giao dịch TK'!$E$5:$E$504,'Giao dịch TK'!$C$5:$C$504,$A34)</f>
        <v>0</v>
      </c>
      <c r="D34" s="18" t="n">
        <f aca="false">SUMIFS('Giao dịch TK'!$F$5:$F$504,'Giao dịch TK'!$C$5:$C$504,$A34)</f>
        <v>0</v>
      </c>
      <c r="E34" s="18" t="n">
        <f aca="false">B34-D34</f>
        <v>1000</v>
      </c>
      <c r="F34" s="18" t="n">
        <f aca="false">COUNTIFS('Giao dịch TK'!$C$5:$C$504,$A34)</f>
        <v>1</v>
      </c>
    </row>
    <row r="35" customFormat="false" ht="15" hidden="false" customHeight="false" outlineLevel="0" collapsed="false">
      <c r="A35" s="29" t="s">
        <v>178</v>
      </c>
      <c r="B35" s="18" t="n">
        <f aca="false">SUMIFS('Giao dịch TK'!$D$5:$D$504,'Giao dịch TK'!$C$5:$C$504,$A35)</f>
        <v>3000</v>
      </c>
      <c r="C35" s="18" t="n">
        <f aca="false">SUMIFS('Giao dịch TK'!$E$5:$E$504,'Giao dịch TK'!$C$5:$C$504,$A35)</f>
        <v>0</v>
      </c>
      <c r="D35" s="18" t="n">
        <f aca="false">SUMIFS('Giao dịch TK'!$F$5:$F$504,'Giao dịch TK'!$C$5:$C$504,$A35)</f>
        <v>0</v>
      </c>
      <c r="E35" s="18" t="n">
        <f aca="false">B35-D35</f>
        <v>3000</v>
      </c>
      <c r="F35" s="18" t="n">
        <f aca="false">COUNTIFS('Giao dịch TK'!$C$5:$C$504,$A35)</f>
        <v>1</v>
      </c>
    </row>
    <row r="36" customFormat="false" ht="15" hidden="false" customHeight="false" outlineLevel="0" collapsed="false">
      <c r="A36" s="29" t="s">
        <v>214</v>
      </c>
      <c r="B36" s="18" t="n">
        <f aca="false">SUMIFS('Giao dịch TK'!$D$5:$D$504,'Giao dịch TK'!$C$5:$C$504,$A36)</f>
        <v>500</v>
      </c>
      <c r="C36" s="18" t="n">
        <f aca="false">SUMIFS('Giao dịch TK'!$E$5:$E$504,'Giao dịch TK'!$C$5:$C$504,$A36)</f>
        <v>0</v>
      </c>
      <c r="D36" s="18" t="n">
        <f aca="false">SUMIFS('Giao dịch TK'!$F$5:$F$504,'Giao dịch TK'!$C$5:$C$504,$A36)</f>
        <v>0</v>
      </c>
      <c r="E36" s="18" t="n">
        <f aca="false">B36-D36</f>
        <v>500</v>
      </c>
      <c r="F36" s="18" t="n">
        <f aca="false">COUNTIFS('Giao dịch TK'!$C$5:$C$504,$A36)</f>
        <v>1</v>
      </c>
    </row>
    <row r="37" customFormat="false" ht="15" hidden="false" customHeight="false" outlineLevel="0" collapsed="false">
      <c r="A37" s="29" t="s">
        <v>227</v>
      </c>
      <c r="B37" s="18" t="n">
        <f aca="false">SUMIFS('Giao dịch TK'!$D$5:$D$504,'Giao dịch TK'!$C$5:$C$504,$A37)</f>
        <v>150</v>
      </c>
      <c r="C37" s="18" t="n">
        <f aca="false">SUMIFS('Giao dịch TK'!$E$5:$E$504,'Giao dịch TK'!$C$5:$C$504,$A37)</f>
        <v>0</v>
      </c>
      <c r="D37" s="18" t="n">
        <f aca="false">SUMIFS('Giao dịch TK'!$F$5:$F$504,'Giao dịch TK'!$C$5:$C$504,$A37)</f>
        <v>251</v>
      </c>
      <c r="E37" s="18" t="n">
        <f aca="false">B37-D37</f>
        <v>-101</v>
      </c>
      <c r="F37" s="18" t="n">
        <f aca="false">COUNTIFS('Giao dịch TK'!$C$5:$C$504,$A37)</f>
        <v>2</v>
      </c>
    </row>
    <row r="38" customFormat="false" ht="15" hidden="false" customHeight="false" outlineLevel="0" collapsed="false">
      <c r="A38" s="29" t="s">
        <v>230</v>
      </c>
      <c r="B38" s="18" t="n">
        <f aca="false">SUMIFS('Giao dịch TK'!$D$5:$D$504,'Giao dịch TK'!$C$5:$C$504,$A38)</f>
        <v>7800</v>
      </c>
      <c r="C38" s="18" t="n">
        <f aca="false">SUMIFS('Giao dịch TK'!$E$5:$E$504,'Giao dịch TK'!$C$5:$C$504,$A38)</f>
        <v>9200</v>
      </c>
      <c r="D38" s="18" t="n">
        <f aca="false">SUMIFS('Giao dịch TK'!$F$5:$F$504,'Giao dịch TK'!$C$5:$C$504,$A38)</f>
        <v>500</v>
      </c>
      <c r="E38" s="18" t="n">
        <f aca="false">B38-D38</f>
        <v>7300</v>
      </c>
      <c r="F38" s="18" t="n">
        <f aca="false">COUNTIFS('Giao dịch TK'!$C$5:$C$504,$A38)</f>
        <v>2</v>
      </c>
    </row>
    <row r="39" customFormat="false" ht="15" hidden="false" customHeight="false" outlineLevel="0" collapsed="false">
      <c r="A39" s="29" t="s">
        <v>192</v>
      </c>
      <c r="B39" s="18" t="n">
        <f aca="false">SUMIFS('Giao dịch TK'!$D$5:$D$504,'Giao dịch TK'!$C$5:$C$504,$A39)</f>
        <v>2580</v>
      </c>
      <c r="C39" s="18" t="n">
        <f aca="false">SUMIFS('Giao dịch TK'!$E$5:$E$504,'Giao dịch TK'!$C$5:$C$504,$A39)</f>
        <v>0</v>
      </c>
      <c r="D39" s="18" t="n">
        <f aca="false">SUMIFS('Giao dịch TK'!$F$5:$F$504,'Giao dịch TK'!$C$5:$C$504,$A39)</f>
        <v>0</v>
      </c>
      <c r="E39" s="18" t="n">
        <f aca="false">B39-D39</f>
        <v>2580</v>
      </c>
      <c r="F39" s="18" t="n">
        <f aca="false">COUNTIFS('Giao dịch TK'!$C$5:$C$504,$A39)</f>
        <v>1</v>
      </c>
    </row>
    <row r="40" customFormat="false" ht="15" hidden="false" customHeight="false" outlineLevel="0" collapsed="false">
      <c r="A40" s="29" t="s">
        <v>194</v>
      </c>
      <c r="B40" s="18" t="n">
        <f aca="false">SUMIFS('Giao dịch TK'!$D$5:$D$504,'Giao dịch TK'!$C$5:$C$504,$A40)</f>
        <v>4100</v>
      </c>
      <c r="C40" s="18" t="n">
        <f aca="false">SUMIFS('Giao dịch TK'!$E$5:$E$504,'Giao dịch TK'!$C$5:$C$504,$A40)</f>
        <v>0</v>
      </c>
      <c r="D40" s="18" t="n">
        <f aca="false">SUMIFS('Giao dịch TK'!$F$5:$F$504,'Giao dịch TK'!$C$5:$C$504,$A40)</f>
        <v>1120</v>
      </c>
      <c r="E40" s="18" t="n">
        <f aca="false">B40-D40</f>
        <v>2980</v>
      </c>
      <c r="F40" s="18" t="n">
        <f aca="false">COUNTIFS('Giao dịch TK'!$C$5:$C$504,$A40)</f>
        <v>1</v>
      </c>
    </row>
    <row r="41" customFormat="false" ht="15" hidden="false" customHeight="false" outlineLevel="0" collapsed="false">
      <c r="A41" s="29" t="s">
        <v>225</v>
      </c>
      <c r="B41" s="18" t="n">
        <f aca="false">SUMIFS('Giao dịch TK'!$D$5:$D$504,'Giao dịch TK'!$C$5:$C$504,$A41)</f>
        <v>160</v>
      </c>
      <c r="C41" s="18" t="n">
        <f aca="false">SUMIFS('Giao dịch TK'!$E$5:$E$504,'Giao dịch TK'!$C$5:$C$504,$A41)</f>
        <v>0</v>
      </c>
      <c r="D41" s="18" t="n">
        <f aca="false">SUMIFS('Giao dịch TK'!$F$5:$F$504,'Giao dịch TK'!$C$5:$C$504,$A41)</f>
        <v>0</v>
      </c>
      <c r="E41" s="18" t="n">
        <f aca="false">B41-D41</f>
        <v>160</v>
      </c>
      <c r="F41" s="18" t="n">
        <f aca="false">COUNTIFS('Giao dịch TK'!$C$5:$C$504,$A41)</f>
        <v>1</v>
      </c>
    </row>
    <row r="42" customFormat="false" ht="15" hidden="false" customHeight="false" outlineLevel="0" collapsed="false">
      <c r="A42" s="29" t="s">
        <v>241</v>
      </c>
      <c r="B42" s="18" t="n">
        <f aca="false">SUMIFS('Giao dịch TK'!$D$5:$D$504,'Giao dịch TK'!$C$5:$C$504,$A42)</f>
        <v>1000</v>
      </c>
      <c r="C42" s="18" t="n">
        <f aca="false">SUMIFS('Giao dịch TK'!$E$5:$E$504,'Giao dịch TK'!$C$5:$C$504,$A42)</f>
        <v>0</v>
      </c>
      <c r="D42" s="18" t="n">
        <f aca="false">SUMIFS('Giao dịch TK'!$F$5:$F$504,'Giao dịch TK'!$C$5:$C$504,$A42)</f>
        <v>0</v>
      </c>
      <c r="E42" s="18" t="n">
        <f aca="false">B42-D42</f>
        <v>1000</v>
      </c>
      <c r="F42" s="18" t="n">
        <f aca="false">COUNTIFS('Giao dịch TK'!$C$5:$C$504,$A42)</f>
        <v>1</v>
      </c>
    </row>
    <row r="43" customFormat="false" ht="15" hidden="false" customHeight="false" outlineLevel="0" collapsed="false">
      <c r="A43" s="29" t="s">
        <v>200</v>
      </c>
      <c r="B43" s="18" t="n">
        <f aca="false">SUMIFS('Giao dịch TK'!$D$5:$D$504,'Giao dịch TK'!$C$5:$C$504,$A43)</f>
        <v>10000</v>
      </c>
      <c r="C43" s="18" t="n">
        <f aca="false">SUMIFS('Giao dịch TK'!$E$5:$E$504,'Giao dịch TK'!$C$5:$C$504,$A43)</f>
        <v>19190</v>
      </c>
      <c r="D43" s="18" t="n">
        <f aca="false">SUMIFS('Giao dịch TK'!$F$5:$F$504,'Giao dịch TK'!$C$5:$C$504,$A43)</f>
        <v>0</v>
      </c>
      <c r="E43" s="18" t="n">
        <f aca="false">B43-D43</f>
        <v>10000</v>
      </c>
      <c r="F43" s="18" t="n">
        <f aca="false">COUNTIFS('Giao dịch TK'!$C$5:$C$504,$A43)</f>
        <v>2</v>
      </c>
    </row>
    <row r="44" customFormat="false" ht="15" hidden="false" customHeight="false" outlineLevel="0" collapsed="false">
      <c r="A44" s="29" t="s">
        <v>169</v>
      </c>
      <c r="B44" s="18" t="n">
        <f aca="false">SUMIFS('Giao dịch TK'!$D$5:$D$504,'Giao dịch TK'!$C$5:$C$504,$A44)</f>
        <v>3000</v>
      </c>
      <c r="C44" s="18" t="n">
        <f aca="false">SUMIFS('Giao dịch TK'!$E$5:$E$504,'Giao dịch TK'!$C$5:$C$504,$A44)</f>
        <v>6000</v>
      </c>
      <c r="D44" s="18" t="n">
        <f aca="false">SUMIFS('Giao dịch TK'!$F$5:$F$504,'Giao dịch TK'!$C$5:$C$504,$A44)</f>
        <v>0</v>
      </c>
      <c r="E44" s="18" t="n">
        <f aca="false">B44-D44</f>
        <v>3000</v>
      </c>
      <c r="F44" s="18" t="n">
        <f aca="false">COUNTIFS('Giao dịch TK'!$C$5:$C$504,$A44)</f>
        <v>1</v>
      </c>
    </row>
    <row r="45" customFormat="false" ht="15" hidden="false" customHeight="false" outlineLevel="0" collapsed="false">
      <c r="A45" s="29" t="s">
        <v>175</v>
      </c>
      <c r="B45" s="18" t="n">
        <f aca="false">SUMIFS('Giao dịch TK'!$D$5:$D$504,'Giao dịch TK'!$C$5:$C$504,$A45)</f>
        <v>200</v>
      </c>
      <c r="C45" s="18" t="n">
        <f aca="false">SUMIFS('Giao dịch TK'!$E$5:$E$504,'Giao dịch TK'!$C$5:$C$504,$A45)</f>
        <v>0</v>
      </c>
      <c r="D45" s="18" t="n">
        <f aca="false">SUMIFS('Giao dịch TK'!$F$5:$F$504,'Giao dịch TK'!$C$5:$C$504,$A45)</f>
        <v>100</v>
      </c>
      <c r="E45" s="18" t="n">
        <f aca="false">B45-D45</f>
        <v>100</v>
      </c>
      <c r="F45" s="18" t="n">
        <f aca="false">COUNTIFS('Giao dịch TK'!$C$5:$C$504,$A45)</f>
        <v>1</v>
      </c>
    </row>
    <row r="46" customFormat="false" ht="15" hidden="false" customHeight="false" outlineLevel="0" collapsed="false">
      <c r="A46" s="29" t="s">
        <v>189</v>
      </c>
      <c r="B46" s="18" t="n">
        <f aca="false">SUMIFS('Giao dịch TK'!$D$5:$D$504,'Giao dịch TK'!$C$5:$C$504,$A46)</f>
        <v>200</v>
      </c>
      <c r="C46" s="18" t="n">
        <f aca="false">SUMIFS('Giao dịch TK'!$E$5:$E$504,'Giao dịch TK'!$C$5:$C$504,$A46)</f>
        <v>0</v>
      </c>
      <c r="D46" s="18" t="n">
        <f aca="false">SUMIFS('Giao dịch TK'!$F$5:$F$504,'Giao dịch TK'!$C$5:$C$504,$A46)</f>
        <v>0</v>
      </c>
      <c r="E46" s="18" t="n">
        <f aca="false">B46-D46</f>
        <v>200</v>
      </c>
      <c r="F46" s="18" t="n">
        <f aca="false">COUNTIFS('Giao dịch TK'!$C$5:$C$504,$A46)</f>
        <v>2</v>
      </c>
    </row>
    <row r="47" customFormat="false" ht="15" hidden="false" customHeight="false" outlineLevel="0" collapsed="false">
      <c r="A47" s="29" t="s">
        <v>216</v>
      </c>
      <c r="B47" s="18" t="n">
        <f aca="false">SUMIFS('Giao dịch TK'!$D$5:$D$504,'Giao dịch TK'!$C$5:$C$504,$A47)</f>
        <v>1000</v>
      </c>
      <c r="C47" s="18" t="n">
        <f aca="false">SUMIFS('Giao dịch TK'!$E$5:$E$504,'Giao dịch TK'!$C$5:$C$504,$A47)</f>
        <v>0</v>
      </c>
      <c r="D47" s="18" t="n">
        <f aca="false">SUMIFS('Giao dịch TK'!$F$5:$F$504,'Giao dịch TK'!$C$5:$C$504,$A47)</f>
        <v>0</v>
      </c>
      <c r="E47" s="18" t="n">
        <f aca="false">B47-D47</f>
        <v>1000</v>
      </c>
      <c r="F47" s="18" t="n">
        <f aca="false">COUNTIFS('Giao dịch TK'!$C$5:$C$504,$A47)</f>
        <v>1</v>
      </c>
    </row>
    <row r="48" customFormat="false" ht="15" hidden="false" customHeight="false" outlineLevel="0" collapsed="false">
      <c r="A48" s="29" t="s">
        <v>145</v>
      </c>
      <c r="B48" s="18" t="n">
        <f aca="false">SUMIFS('Giao dịch TK'!$D$5:$D$504,'Giao dịch TK'!$C$5:$C$504,$A48)</f>
        <v>5000</v>
      </c>
      <c r="C48" s="18" t="n">
        <f aca="false">SUMIFS('Giao dịch TK'!$E$5:$E$504,'Giao dịch TK'!$C$5:$C$504,$A48)</f>
        <v>15000</v>
      </c>
      <c r="D48" s="18" t="n">
        <f aca="false">SUMIFS('Giao dịch TK'!$F$5:$F$504,'Giao dịch TK'!$C$5:$C$504,$A48)</f>
        <v>0</v>
      </c>
      <c r="E48" s="18" t="n">
        <f aca="false">B48-D48</f>
        <v>5000</v>
      </c>
      <c r="F48" s="18" t="n">
        <f aca="false">COUNTIFS('Giao dịch TK'!$C$5:$C$504,$A48)</f>
        <v>1</v>
      </c>
    </row>
  </sheetData>
  <autoFilter ref="A4:F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253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254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1" t="s">
        <v>255</v>
      </c>
      <c r="B4" s="31" t="s">
        <v>256</v>
      </c>
      <c r="C4" s="31" t="s">
        <v>257</v>
      </c>
      <c r="D4" s="31" t="s">
        <v>258</v>
      </c>
      <c r="E4" s="31" t="s">
        <v>259</v>
      </c>
      <c r="F4" s="31" t="s">
        <v>260</v>
      </c>
    </row>
    <row r="5" customFormat="false" ht="15" hidden="false" customHeight="false" outlineLevel="0" collapsed="false">
      <c r="A5" s="41" t="s">
        <v>261</v>
      </c>
      <c r="B5" s="33" t="s">
        <v>262</v>
      </c>
      <c r="C5" s="25" t="n">
        <v>34550</v>
      </c>
      <c r="D5" s="15" t="n">
        <f aca="false">SUMIFS('Giao dịch TK'!$D$5:$D$504,'Giao dịch TK'!$B$5:$B$504,"WINDI",'Giao dịch TK'!$A$5:$A$504,DATE(2026,10,1))+SUMIFS('Giao dịch TK'!$E$5:$E$504,'Giao dịch TK'!$B$5:$B$504,"WINDI",'Giao dịch TK'!$A$5:$A$504,DATE(2026,10,1))</f>
        <v>34550</v>
      </c>
      <c r="E5" s="42" t="n">
        <f aca="false">D5-C5</f>
        <v>0</v>
      </c>
      <c r="F5" s="41" t="str">
        <f aca="false">IF(E5=0,"✓ Khớp","⚠ Lệch")</f>
        <v>✓ Khớp</v>
      </c>
    </row>
    <row r="6" customFormat="false" ht="15" hidden="false" customHeight="false" outlineLevel="0" collapsed="false">
      <c r="A6" s="41" t="s">
        <v>263</v>
      </c>
      <c r="B6" s="33" t="s">
        <v>264</v>
      </c>
      <c r="C6" s="25" t="n">
        <v>408</v>
      </c>
      <c r="D6" s="15" t="n">
        <f aca="false">SUMIFS('Giao dịch TK'!$F$5:$F$504,'Giao dịch TK'!$B$5:$B$504,"WINDI",'Giao dịch TK'!$A$5:$A$504,DATE(2026,10,1))</f>
        <v>408</v>
      </c>
      <c r="E6" s="42" t="n">
        <f aca="false">D6-C6</f>
        <v>0</v>
      </c>
      <c r="F6" s="41" t="str">
        <f aca="false">IF(E6=0,"✓ Khớp","⚠ Lệch")</f>
        <v>✓ Khớp</v>
      </c>
    </row>
    <row r="7" customFormat="false" ht="15" hidden="false" customHeight="false" outlineLevel="0" collapsed="false">
      <c r="A7" s="41" t="s">
        <v>265</v>
      </c>
      <c r="B7" s="33" t="s">
        <v>266</v>
      </c>
      <c r="C7" s="25" t="n">
        <v>19850</v>
      </c>
      <c r="D7" s="15" t="n">
        <f aca="false">SUMIFS('Giao dịch TK'!$D$5:$D$504,'Giao dịch TK'!$B$5:$B$504,"WINDI",'Giao dịch TK'!$A$5:$A$504,DATE(2026,10,2))+SUMIFS('Giao dịch TK'!$E$5:$E$504,'Giao dịch TK'!$B$5:$B$504,"WINDI",'Giao dịch TK'!$A$5:$A$504,DATE(2026,10,2))</f>
        <v>19850</v>
      </c>
      <c r="E7" s="42" t="n">
        <f aca="false">D7-C7</f>
        <v>0</v>
      </c>
      <c r="F7" s="41" t="str">
        <f aca="false">IF(E7=0,"✓ Khớp","⚠ Lệch")</f>
        <v>✓ Khớp</v>
      </c>
    </row>
    <row r="8" customFormat="false" ht="15" hidden="false" customHeight="false" outlineLevel="0" collapsed="false">
      <c r="A8" s="41" t="s">
        <v>267</v>
      </c>
      <c r="B8" s="33" t="s">
        <v>268</v>
      </c>
      <c r="C8" s="25" t="n">
        <v>1215</v>
      </c>
      <c r="D8" s="15" t="n">
        <f aca="false">SUMIFS('Giao dịch TK'!$F$5:$F$504,'Giao dịch TK'!$B$5:$B$504,"WINDI",'Giao dịch TK'!$A$5:$A$504,DATE(2026,10,2))</f>
        <v>1161</v>
      </c>
      <c r="E8" s="42" t="n">
        <f aca="false">D8-C8</f>
        <v>-54</v>
      </c>
      <c r="F8" s="41" t="str">
        <f aca="false">IF(E8=0,"✓ Khớp","⚠ Lệch")</f>
        <v>⚠ Lệch</v>
      </c>
    </row>
    <row r="9" customFormat="false" ht="15" hidden="false" customHeight="false" outlineLevel="0" collapsed="false">
      <c r="A9" s="41" t="s">
        <v>269</v>
      </c>
      <c r="B9" s="33" t="s">
        <v>270</v>
      </c>
      <c r="C9" s="25" t="n">
        <v>9250</v>
      </c>
      <c r="D9" s="15" t="n">
        <f aca="false">SUMIFS('Giao dịch TK'!$D$5:$D$504,'Giao dịch TK'!$B$5:$B$504,"WINDI",'Giao dịch TK'!$A$5:$A$504,DATE(2026,10,3))+SUMIFS('Giao dịch TK'!$E$5:$E$504,'Giao dịch TK'!$B$5:$B$504,"WINDI",'Giao dịch TK'!$A$5:$A$504,DATE(2026,10,3))</f>
        <v>9250</v>
      </c>
      <c r="E9" s="42" t="n">
        <f aca="false">D9-C9</f>
        <v>0</v>
      </c>
      <c r="F9" s="41" t="str">
        <f aca="false">IF(E9=0,"✓ Khớp","⚠ Lệch")</f>
        <v>✓ Khớp</v>
      </c>
    </row>
    <row r="10" customFormat="false" ht="15" hidden="false" customHeight="false" outlineLevel="0" collapsed="false">
      <c r="A10" s="41" t="s">
        <v>271</v>
      </c>
      <c r="B10" s="33" t="s">
        <v>272</v>
      </c>
      <c r="C10" s="25" t="n">
        <v>10000</v>
      </c>
      <c r="D10" s="15" t="n">
        <f aca="false">SUMIFS('Giao dịch TK'!$D$5:$D$504,'Giao dịch TK'!$B$5:$B$504,"WINDI",'Giao dịch TK'!$A$5:$A$504,DATE(2026,10,4))+SUMIFS('Giao dịch TK'!$E$5:$E$504,'Giao dịch TK'!$B$5:$B$504,"WINDI",'Giao dịch TK'!$A$5:$A$504,DATE(2026,10,4))</f>
        <v>10000</v>
      </c>
      <c r="E10" s="42" t="n">
        <f aca="false">D10-C10</f>
        <v>0</v>
      </c>
      <c r="F10" s="41" t="str">
        <f aca="false">IF(E10=0,"✓ Khớp","⚠ Lệch")</f>
        <v>✓ Khớp</v>
      </c>
    </row>
    <row r="11" customFormat="false" ht="15" hidden="false" customHeight="false" outlineLevel="0" collapsed="false">
      <c r="A11" s="41" t="s">
        <v>273</v>
      </c>
      <c r="B11" s="33" t="s">
        <v>274</v>
      </c>
      <c r="C11" s="25" t="n">
        <v>8200</v>
      </c>
      <c r="D11" s="15" t="n">
        <f aca="false">SUMIFS('Giao dịch TK'!$D$5:$D$504,'Giao dịch TK'!$B$5:$B$504,"CAO TIẾN",'Giao dịch TK'!$A$5:$A$504,DATE(2026,10,1))</f>
        <v>8200</v>
      </c>
      <c r="E11" s="42" t="n">
        <f aca="false">D11-C11</f>
        <v>0</v>
      </c>
      <c r="F11" s="41" t="str">
        <f aca="false">IF(E11=0,"✓ Khớp","⚠ Lệch")</f>
        <v>✓ Khớp</v>
      </c>
    </row>
    <row r="12" customFormat="false" ht="15" hidden="false" customHeight="false" outlineLevel="0" collapsed="false">
      <c r="A12" s="41" t="s">
        <v>275</v>
      </c>
      <c r="B12" s="33" t="s">
        <v>276</v>
      </c>
      <c r="C12" s="25" t="n">
        <v>150</v>
      </c>
      <c r="D12" s="15" t="n">
        <f aca="false">SUMIFS('Giao dịch TK'!$D$5:$D$504,'Giao dịch TK'!$B$5:$B$504,"CAO TIẾN",'Giao dịch TK'!$A$5:$A$504,DATE(2026,10,2))</f>
        <v>150</v>
      </c>
      <c r="E12" s="42" t="n">
        <f aca="false">D12-C12</f>
        <v>0</v>
      </c>
      <c r="F12" s="41" t="str">
        <f aca="false">IF(E12=0,"✓ Khớp","⚠ Lệch")</f>
        <v>✓ Khớp</v>
      </c>
    </row>
    <row r="13" customFormat="false" ht="15" hidden="false" customHeight="false" outlineLevel="0" collapsed="false">
      <c r="A13" s="41" t="s">
        <v>277</v>
      </c>
      <c r="B13" s="33" t="s">
        <v>278</v>
      </c>
      <c r="C13" s="25" t="n">
        <v>9</v>
      </c>
      <c r="D13" s="15" t="n">
        <f aca="false">SUMIFS('Giao dịch TK'!$D$5:$D$504,'Giao dịch TK'!$B$5:$B$504,"SU",'Giao dịch TK'!$A$5:$A$504,DATE(2026,10,1))-SUMIFS('Giao dịch TK'!$F$5:$F$504,'Giao dịch TK'!$B$5:$B$504,"SU",'Giao dịch TK'!$A$5:$A$504,DATE(2026,10,1))</f>
        <v>9</v>
      </c>
      <c r="E13" s="42" t="n">
        <f aca="false">D13-C13</f>
        <v>0</v>
      </c>
      <c r="F13" s="41" t="str">
        <f aca="false">IF(E13=0,"✓ Khớp","⚠ Lệch")</f>
        <v>✓ Khớp</v>
      </c>
    </row>
    <row r="14" customFormat="false" ht="15" hidden="false" customHeight="false" outlineLevel="0" collapsed="false">
      <c r="A14" s="41" t="s">
        <v>279</v>
      </c>
      <c r="B14" s="33" t="s">
        <v>280</v>
      </c>
      <c r="C14" s="25" t="n">
        <v>50</v>
      </c>
      <c r="D14" s="15" t="n">
        <f aca="false">SUMIFS('Giao dịch TK'!$D$5:$D$504,'Giao dịch TK'!$B$5:$B$504,"SU",'Giao dịch TK'!$A$5:$A$504,DATE(2026,10,2))-SUMIFS('Giao dịch TK'!$F$5:$F$504,'Giao dịch TK'!$B$5:$B$504,"SU",'Giao dịch TK'!$A$5:$A$504,DATE(2026,10,2))</f>
        <v>50</v>
      </c>
      <c r="E14" s="42" t="n">
        <f aca="false">D14-C14</f>
        <v>0</v>
      </c>
      <c r="F14" s="41" t="str">
        <f aca="false">IF(E14=0,"✓ Khớp","⚠ Lệch")</f>
        <v>✓ Khớp</v>
      </c>
    </row>
    <row r="15" customFormat="false" ht="15" hidden="false" customHeight="false" outlineLevel="0" collapsed="false">
      <c r="A15" s="41" t="s">
        <v>281</v>
      </c>
      <c r="B15" s="33" t="s">
        <v>282</v>
      </c>
      <c r="C15" s="25" t="n">
        <v>42572</v>
      </c>
      <c r="D15" s="15" t="n">
        <f aca="false">SUMIFS('Thu Chi'!$E$5:$E$504,'Thu Chi'!$C$5:$C$504,"Hoa hồng")</f>
        <v>42572</v>
      </c>
      <c r="E15" s="42" t="n">
        <f aca="false">D15-C15</f>
        <v>0</v>
      </c>
      <c r="F15" s="41" t="str">
        <f aca="false">IF(E15=0,"✓ Khớp","⚠ Lệch")</f>
        <v>✓ Khớp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6" t="s">
        <v>283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8" t="s">
        <v>284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8" t="s">
        <v>285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8" t="s">
        <v>286</v>
      </c>
      <c r="B21" s="2"/>
      <c r="C21" s="2"/>
      <c r="D21" s="2"/>
      <c r="E21" s="2"/>
      <c r="F21" s="2"/>
    </row>
    <row r="22" customFormat="false" ht="15" hidden="false" customHeight="false" outlineLevel="0" collapsed="false">
      <c r="A22" s="8" t="s">
        <v>287</v>
      </c>
      <c r="B22" s="2"/>
      <c r="C22" s="2"/>
      <c r="D22" s="2"/>
      <c r="E22" s="2"/>
      <c r="F22" s="2"/>
    </row>
    <row r="23" customFormat="false" ht="15" hidden="false" customHeight="false" outlineLevel="0" collapsed="false">
      <c r="A23" s="8" t="s">
        <v>288</v>
      </c>
      <c r="B23" s="2"/>
      <c r="C23" s="2"/>
      <c r="D23" s="2"/>
      <c r="E23" s="2"/>
      <c r="F23" s="2"/>
    </row>
    <row r="24" customFormat="false" ht="15" hidden="false" customHeight="false" outlineLevel="0" collapsed="false">
      <c r="A24" s="8" t="s">
        <v>289</v>
      </c>
      <c r="B24" s="2"/>
      <c r="C24" s="2"/>
      <c r="D24" s="2"/>
      <c r="E24" s="2"/>
      <c r="F24" s="2"/>
    </row>
    <row r="25" customFormat="false" ht="15" hidden="false" customHeight="false" outlineLevel="0" collapsed="false">
      <c r="A25" s="8" t="s">
        <v>290</v>
      </c>
      <c r="B25" s="2"/>
      <c r="C25" s="2"/>
      <c r="D25" s="2"/>
      <c r="E25" s="2"/>
      <c r="F25" s="2"/>
    </row>
    <row r="26" customFormat="false" ht="15" hidden="false" customHeight="false" outlineLevel="0" collapsed="false">
      <c r="A26" s="8" t="s">
        <v>291</v>
      </c>
      <c r="B26" s="2"/>
      <c r="C26" s="2"/>
      <c r="D26" s="2"/>
      <c r="E26" s="2"/>
      <c r="F26" s="2"/>
    </row>
    <row r="27" customFormat="false" ht="15" hidden="false" customHeight="false" outlineLevel="0" collapsed="false">
      <c r="A27" s="8" t="s">
        <v>292</v>
      </c>
      <c r="B27" s="2"/>
      <c r="C27" s="2"/>
      <c r="D27" s="2"/>
      <c r="E27" s="2"/>
      <c r="F27" s="2"/>
    </row>
  </sheetData>
  <conditionalFormatting sqref="A5:F15">
    <cfRule type="expression" priority="2" aboveAverage="0" equalAverage="0" bottom="0" percent="0" rank="0" text="" dxfId="8">
      <formula>$E5&lt;&gt;0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2026-10-05T15:04:25Z</dcterms:created>
  <dc:creator>openpyxl</dc:creator>
  <dc:description/>
  <dc:language>en-US</dc:language>
  <cp:lastModifiedBy/>
  <dcterms:modified xsi:type="dcterms:W3CDTF">2026-10-05T15:04:25Z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